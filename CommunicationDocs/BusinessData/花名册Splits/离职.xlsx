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005"/>
  </bookViews>
  <sheets>
    <sheet name="离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<sst xmlns="http://schemas.openxmlformats.org/spreadsheetml/2006/main" count="2250" uniqueCount="1000">
  <si>
    <t>离职花名册</t>
  </si>
  <si>
    <t>序号</t>
  </si>
  <si>
    <t>公司编号</t>
  </si>
  <si>
    <t>姓名</t>
  </si>
  <si>
    <t>身份证号码</t>
  </si>
  <si>
    <t>性别</t>
  </si>
  <si>
    <t>年龄</t>
  </si>
  <si>
    <t>联系电话</t>
  </si>
  <si>
    <t>入职时间</t>
  </si>
  <si>
    <t>转正日期</t>
  </si>
  <si>
    <t>部门</t>
  </si>
  <si>
    <t>岗位</t>
  </si>
  <si>
    <t>工龄</t>
  </si>
  <si>
    <t>状态</t>
  </si>
  <si>
    <t>来源</t>
  </si>
  <si>
    <t>备注</t>
  </si>
  <si>
    <t>合同到期日</t>
  </si>
  <si>
    <t>身份证复印件</t>
  </si>
  <si>
    <t>保险所在公司</t>
  </si>
  <si>
    <t>银行卡</t>
  </si>
  <si>
    <t>金武泉</t>
  </si>
  <si>
    <t>32092519681109007X</t>
  </si>
  <si>
    <t>生产部</t>
  </si>
  <si>
    <t>鲍安富</t>
  </si>
  <si>
    <t>32092519881006141X</t>
  </si>
  <si>
    <t>设备部</t>
  </si>
  <si>
    <t>机修工</t>
  </si>
  <si>
    <t>朱荣</t>
  </si>
  <si>
    <t>320925198201262523</t>
  </si>
  <si>
    <t>18761297595</t>
  </si>
  <si>
    <t>李文俊</t>
  </si>
  <si>
    <t>320925199908171419</t>
  </si>
  <si>
    <t>19852328638</t>
  </si>
  <si>
    <t>质量部</t>
  </si>
  <si>
    <t>马玉芹</t>
  </si>
  <si>
    <t>320925198211132888</t>
  </si>
  <si>
    <t>许胜</t>
  </si>
  <si>
    <t>320923199110105794</t>
  </si>
  <si>
    <t>顾海燕</t>
  </si>
  <si>
    <t>32092519981102544X</t>
  </si>
  <si>
    <t>朱月琴</t>
  </si>
  <si>
    <t>320925197305292829</t>
  </si>
  <si>
    <t>杨进</t>
  </si>
  <si>
    <t>赵德勇</t>
  </si>
  <si>
    <t>李荣富</t>
  </si>
  <si>
    <t>320925198806022012</t>
  </si>
  <si>
    <t>18914604020</t>
  </si>
  <si>
    <t>唐小兰</t>
  </si>
  <si>
    <t>362524198310087040</t>
  </si>
  <si>
    <t>吴志宁</t>
  </si>
  <si>
    <t>马国良</t>
  </si>
  <si>
    <t>乔中江</t>
  </si>
  <si>
    <t>刘志</t>
  </si>
  <si>
    <t>郭兆丰</t>
  </si>
  <si>
    <t>马春玲</t>
  </si>
  <si>
    <t>32092419870501026X</t>
  </si>
  <si>
    <t>周美玲</t>
  </si>
  <si>
    <t>320925198803286725</t>
  </si>
  <si>
    <t>18921859363</t>
  </si>
  <si>
    <t>刘兰</t>
  </si>
  <si>
    <t>32092519811228312X</t>
  </si>
  <si>
    <t>王杏林</t>
  </si>
  <si>
    <t>320925197411243641</t>
  </si>
  <si>
    <t>王伟</t>
  </si>
  <si>
    <t>320925198402116733</t>
  </si>
  <si>
    <t>行政部</t>
  </si>
  <si>
    <t>张建华</t>
  </si>
  <si>
    <t>320925196707141455</t>
  </si>
  <si>
    <t>丁红梅</t>
  </si>
  <si>
    <t>320924197312235308</t>
  </si>
  <si>
    <t>陆立飞</t>
  </si>
  <si>
    <t>320925198102071211</t>
  </si>
  <si>
    <t>13813433182</t>
  </si>
  <si>
    <t>陈素灵</t>
  </si>
  <si>
    <t>刘成艳</t>
  </si>
  <si>
    <t>孙加芹</t>
  </si>
  <si>
    <t>320925197003151465</t>
  </si>
  <si>
    <t>唐修华</t>
  </si>
  <si>
    <t>320925197704152049</t>
  </si>
  <si>
    <t>苏芹</t>
  </si>
  <si>
    <t>潘虹</t>
  </si>
  <si>
    <t>320925198804282021</t>
  </si>
  <si>
    <t>孙佳婧</t>
  </si>
  <si>
    <t>320925200505250628</t>
  </si>
  <si>
    <t>周晓峰</t>
  </si>
  <si>
    <t>320925200508120634</t>
  </si>
  <si>
    <t>邰兆秀</t>
  </si>
  <si>
    <t>321023196810166465</t>
  </si>
  <si>
    <t>袁晶</t>
  </si>
  <si>
    <t>320925199308261429</t>
  </si>
  <si>
    <t>祁彦谷</t>
  </si>
  <si>
    <t>320925198108010639</t>
  </si>
  <si>
    <t>18361181398</t>
  </si>
  <si>
    <t>李锦婷</t>
  </si>
  <si>
    <t>32092519921213744X</t>
  </si>
  <si>
    <t>于艳</t>
  </si>
  <si>
    <t>320925198911162842</t>
  </si>
  <si>
    <t>RH-0089</t>
  </si>
  <si>
    <t>李建兵</t>
  </si>
  <si>
    <t>320925197501020038</t>
  </si>
  <si>
    <t>工人</t>
  </si>
  <si>
    <t>无合同</t>
  </si>
  <si>
    <t>无身份证</t>
  </si>
  <si>
    <t>RH-0090</t>
  </si>
  <si>
    <t>陈正英</t>
  </si>
  <si>
    <t>320925198109022041</t>
  </si>
  <si>
    <t>RH-0091</t>
  </si>
  <si>
    <t>董军华</t>
  </si>
  <si>
    <t>320923198208182451</t>
  </si>
  <si>
    <t>仓储部</t>
  </si>
  <si>
    <t>叉车工</t>
  </si>
  <si>
    <t>有</t>
  </si>
  <si>
    <t>RH-0093</t>
  </si>
  <si>
    <t>尤鑫</t>
  </si>
  <si>
    <t>320925199707072019</t>
  </si>
  <si>
    <t>下力工</t>
  </si>
  <si>
    <t>RH-0094</t>
  </si>
  <si>
    <t>沈绘</t>
  </si>
  <si>
    <t>320925198812316746</t>
  </si>
  <si>
    <t>RH-0071</t>
  </si>
  <si>
    <t>孙西仁</t>
  </si>
  <si>
    <t>320925199007193119</t>
  </si>
  <si>
    <t>销售部</t>
  </si>
  <si>
    <t>销售</t>
  </si>
  <si>
    <t>RH-0097</t>
  </si>
  <si>
    <t>丁兴辉</t>
  </si>
  <si>
    <t>320925197303064515</t>
  </si>
  <si>
    <t>树成万</t>
  </si>
  <si>
    <t>320925196308253636</t>
  </si>
  <si>
    <t>培训</t>
  </si>
  <si>
    <t>RH-0106</t>
  </si>
  <si>
    <t>史成高</t>
  </si>
  <si>
    <t>320925196901044210</t>
  </si>
  <si>
    <t>RH-0107</t>
  </si>
  <si>
    <t>黄巧云</t>
  </si>
  <si>
    <t>320925196812244261</t>
  </si>
  <si>
    <t>RH-0108</t>
  </si>
  <si>
    <t>陈卫兰</t>
  </si>
  <si>
    <t>320925198106192029</t>
  </si>
  <si>
    <t>RH-0102</t>
  </si>
  <si>
    <t>张海平</t>
  </si>
  <si>
    <t>320925198002092023</t>
  </si>
  <si>
    <t>RH-0105</t>
  </si>
  <si>
    <t>田大清</t>
  </si>
  <si>
    <t>320923199411185775</t>
  </si>
  <si>
    <t>RH-0109</t>
  </si>
  <si>
    <t>唐亮亮</t>
  </si>
  <si>
    <t>320925198409055419</t>
  </si>
  <si>
    <t>销售支持</t>
  </si>
  <si>
    <t>RH-0143</t>
  </si>
  <si>
    <t>姜金静</t>
  </si>
  <si>
    <t>320925198507266746</t>
  </si>
  <si>
    <t>女</t>
  </si>
  <si>
    <t>0年0个月</t>
  </si>
  <si>
    <t>在职</t>
  </si>
  <si>
    <t>RH-0142</t>
  </si>
  <si>
    <t>高阿生</t>
  </si>
  <si>
    <t>320925197403102814</t>
  </si>
  <si>
    <t>男</t>
  </si>
  <si>
    <t>RH-0138</t>
  </si>
  <si>
    <t>傅淼尧</t>
  </si>
  <si>
    <t>320925198509286716</t>
  </si>
  <si>
    <t>RH-0139</t>
  </si>
  <si>
    <t>彭浩</t>
  </si>
  <si>
    <t>320925199202054210</t>
  </si>
  <si>
    <t>RH-0130</t>
  </si>
  <si>
    <t>张娟</t>
  </si>
  <si>
    <t>320925199006086127</t>
  </si>
  <si>
    <t>文员</t>
  </si>
  <si>
    <t>RH-0121</t>
  </si>
  <si>
    <t>费凡</t>
  </si>
  <si>
    <t>320925199301120017</t>
  </si>
  <si>
    <t>销售维护</t>
  </si>
  <si>
    <t>RH-0085</t>
  </si>
  <si>
    <t>曹霞</t>
  </si>
  <si>
    <t>14062219950806122X</t>
  </si>
  <si>
    <t>QC</t>
  </si>
  <si>
    <t>RH-0092</t>
  </si>
  <si>
    <t>张丹丹</t>
  </si>
  <si>
    <t>320925199104111429</t>
  </si>
  <si>
    <t>妈妈班</t>
  </si>
  <si>
    <t>RH-0100</t>
  </si>
  <si>
    <t>欧荣妹</t>
  </si>
  <si>
    <t>320925197103223120</t>
  </si>
  <si>
    <t>RH-0116</t>
  </si>
  <si>
    <t>周春风</t>
  </si>
  <si>
    <t>320911197505021961</t>
  </si>
  <si>
    <t>RH-0122</t>
  </si>
  <si>
    <t>李风华</t>
  </si>
  <si>
    <t>320925199503091437</t>
  </si>
  <si>
    <t>RH-0123</t>
  </si>
  <si>
    <t>汤艳</t>
  </si>
  <si>
    <t>320923198301065428</t>
  </si>
  <si>
    <t>RH-0124</t>
  </si>
  <si>
    <t>朱美玲</t>
  </si>
  <si>
    <t>320925197309157480</t>
  </si>
  <si>
    <t>RH-0125</t>
  </si>
  <si>
    <t>夏文森</t>
  </si>
  <si>
    <t>320925199211263110</t>
  </si>
  <si>
    <t>RH-0126</t>
  </si>
  <si>
    <t>陈红</t>
  </si>
  <si>
    <t>320911197412221649</t>
  </si>
  <si>
    <t>RH-0141</t>
  </si>
  <si>
    <t>李红军</t>
  </si>
  <si>
    <t>320925197906202032</t>
  </si>
  <si>
    <t>RH-0137</t>
  </si>
  <si>
    <t>肖银芳</t>
  </si>
  <si>
    <t>320925196909196745</t>
  </si>
  <si>
    <t>RH-0131</t>
  </si>
  <si>
    <t>徐萍</t>
  </si>
  <si>
    <t>320925197807242047</t>
  </si>
  <si>
    <t>RH-0132</t>
  </si>
  <si>
    <t>潘红</t>
  </si>
  <si>
    <t>320925197909152026</t>
  </si>
  <si>
    <t>RH-0133</t>
  </si>
  <si>
    <t>张如巧</t>
  </si>
  <si>
    <t>320925197102206505</t>
  </si>
  <si>
    <t>RH-0135</t>
  </si>
  <si>
    <t>刘玉英</t>
  </si>
  <si>
    <t>3209251977809052044</t>
  </si>
  <si>
    <t>RH-0098</t>
  </si>
  <si>
    <t>王玲玲</t>
  </si>
  <si>
    <t>320925198310282021</t>
  </si>
  <si>
    <t>颜学琴</t>
  </si>
  <si>
    <t>320925197912225425</t>
  </si>
  <si>
    <t>韩百悦</t>
  </si>
  <si>
    <t>220721198801191220</t>
  </si>
  <si>
    <t>销售内勤</t>
  </si>
  <si>
    <t>倪正秀</t>
  </si>
  <si>
    <t>320925197005077449</t>
  </si>
  <si>
    <t>庄来春</t>
  </si>
  <si>
    <t>320925199003197454</t>
  </si>
  <si>
    <t>刘玉兰</t>
  </si>
  <si>
    <t>320925197604304228</t>
  </si>
  <si>
    <t>顾启浪</t>
  </si>
  <si>
    <t>320925197907302027</t>
  </si>
  <si>
    <t>卢媛妮</t>
  </si>
  <si>
    <t>522426197904100065</t>
  </si>
  <si>
    <t>注塑</t>
  </si>
  <si>
    <t>白班150</t>
  </si>
  <si>
    <t>RH-0074</t>
  </si>
  <si>
    <t>吴军才</t>
  </si>
  <si>
    <t>320925196702214539</t>
  </si>
  <si>
    <t>19954276541</t>
  </si>
  <si>
    <t>丁荣国</t>
  </si>
  <si>
    <t>RH-0054</t>
  </si>
  <si>
    <t>孙广军</t>
  </si>
  <si>
    <t>320925196901192010</t>
  </si>
  <si>
    <t>15962028036</t>
  </si>
  <si>
    <t>无固定</t>
  </si>
  <si>
    <t>颜霞</t>
  </si>
  <si>
    <t>320925198703235824</t>
  </si>
  <si>
    <t>杨云龙</t>
  </si>
  <si>
    <t>320925198801141477</t>
  </si>
  <si>
    <t>吹塑临时工</t>
  </si>
  <si>
    <t>夜班180</t>
  </si>
  <si>
    <t>徐佩花</t>
  </si>
  <si>
    <t>320925197508156122</t>
  </si>
  <si>
    <t>袁萍</t>
  </si>
  <si>
    <t>320923197801045146</t>
  </si>
  <si>
    <t>11/17离职</t>
  </si>
  <si>
    <t>RH-0104</t>
  </si>
  <si>
    <t>成冬梅</t>
  </si>
  <si>
    <t>320925198211206189</t>
  </si>
  <si>
    <t>张小玉</t>
  </si>
  <si>
    <t>320925199010202565</t>
  </si>
  <si>
    <t>朱必泉</t>
  </si>
  <si>
    <t>422326197501204733</t>
  </si>
  <si>
    <t>易小华</t>
  </si>
  <si>
    <t>512324198305261339</t>
  </si>
  <si>
    <t>张萍萍</t>
  </si>
  <si>
    <t>32092519861109282X</t>
  </si>
  <si>
    <t>制袋</t>
  </si>
  <si>
    <t>刘贵芝</t>
  </si>
  <si>
    <t>412727198512262622</t>
  </si>
  <si>
    <t>吴晓红</t>
  </si>
  <si>
    <t>320925199306124527</t>
  </si>
  <si>
    <t>行政</t>
  </si>
  <si>
    <t>廖大友</t>
  </si>
  <si>
    <t>320925197802034556</t>
  </si>
  <si>
    <t>6500底薪</t>
  </si>
  <si>
    <t>周磊</t>
  </si>
  <si>
    <t>320902198101230036</t>
  </si>
  <si>
    <t>顾德强</t>
  </si>
  <si>
    <t>320925197508250012</t>
  </si>
  <si>
    <t>领料</t>
  </si>
  <si>
    <t>孔红梅</t>
  </si>
  <si>
    <t>320925198101123948</t>
  </si>
  <si>
    <t>RH-0101</t>
  </si>
  <si>
    <t>徐昌盛</t>
  </si>
  <si>
    <t>320925198611010011</t>
  </si>
  <si>
    <t>黄洋洋</t>
  </si>
  <si>
    <t>320925199102216761</t>
  </si>
  <si>
    <t>内勤</t>
  </si>
  <si>
    <t>RH-0110</t>
  </si>
  <si>
    <t>李卫民</t>
  </si>
  <si>
    <t>320925197512131497</t>
  </si>
  <si>
    <t>RH-0079</t>
  </si>
  <si>
    <t>杨云丽</t>
  </si>
  <si>
    <t>320923198411244224</t>
  </si>
  <si>
    <t>RH-0030</t>
  </si>
  <si>
    <t>蒋海芳</t>
  </si>
  <si>
    <t>320925197102066725</t>
  </si>
  <si>
    <t>意外险</t>
  </si>
  <si>
    <t>RH-0077</t>
  </si>
  <si>
    <t>顾汉芳</t>
  </si>
  <si>
    <t>320925196912232065</t>
  </si>
  <si>
    <t>妈妈班转工人</t>
  </si>
  <si>
    <t>王秀林</t>
  </si>
  <si>
    <t>320925197803193946</t>
  </si>
  <si>
    <t>董国庆</t>
  </si>
  <si>
    <t>320925199010015815</t>
  </si>
  <si>
    <t>技术员</t>
  </si>
  <si>
    <t>6000底薪</t>
  </si>
  <si>
    <t>戴广泉</t>
  </si>
  <si>
    <t>320925199001121456</t>
  </si>
  <si>
    <t>临时工</t>
  </si>
  <si>
    <t>周宏干</t>
  </si>
  <si>
    <t>320925198706206121</t>
  </si>
  <si>
    <t>RH-0095</t>
  </si>
  <si>
    <t>潘纬娟</t>
  </si>
  <si>
    <t>320925198208182042</t>
  </si>
  <si>
    <t>吹塑</t>
  </si>
  <si>
    <t>杨为秀</t>
  </si>
  <si>
    <t>320925196304116722</t>
  </si>
  <si>
    <t>邓小霞</t>
  </si>
  <si>
    <t>320925197911202520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</si>
  <si>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</si>
  <si>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吴佳玥</t>
  </si>
  <si>
    <t>32092520020320452X</t>
  </si>
  <si>
    <t>12/27晚离职</t>
  </si>
  <si>
    <t>周明明</t>
  </si>
  <si>
    <t>320925198908130049</t>
  </si>
  <si>
    <t>人事</t>
  </si>
  <si>
    <t>12/29晚离职</t>
  </si>
  <si>
    <t>唐镇</t>
  </si>
  <si>
    <t>320925199607216134</t>
  </si>
  <si>
    <t>一天</t>
  </si>
  <si>
    <t>嵇紹翠</t>
  </si>
  <si>
    <t>320925198506204527</t>
  </si>
  <si>
    <t>质检</t>
  </si>
  <si>
    <t>1/4中午离职</t>
  </si>
  <si>
    <t>RH-0096</t>
  </si>
  <si>
    <t>王士才</t>
  </si>
  <si>
    <t>320925197509202514</t>
  </si>
  <si>
    <t>搬运工</t>
  </si>
  <si>
    <t>单康月</t>
  </si>
  <si>
    <t>320925198504017445</t>
  </si>
  <si>
    <t>巡检</t>
  </si>
  <si>
    <t>刘成明</t>
  </si>
  <si>
    <t>320925197010106435</t>
  </si>
  <si>
    <t>仓库</t>
  </si>
  <si>
    <t>RH-0066</t>
  </si>
  <si>
    <t>夏斯香</t>
  </si>
  <si>
    <t>320925199004093120</t>
  </si>
  <si>
    <t>2024.1.8离职</t>
  </si>
  <si>
    <t>陈会会</t>
  </si>
  <si>
    <t>370982198702171327</t>
  </si>
  <si>
    <t>劳务合同</t>
  </si>
  <si>
    <t>姜大伟</t>
  </si>
  <si>
    <t>320925199111103638</t>
  </si>
  <si>
    <t>RH-0099</t>
  </si>
  <si>
    <t>戴小丽</t>
  </si>
  <si>
    <t>320925198912124602</t>
  </si>
  <si>
    <t>面试后不来了</t>
  </si>
  <si>
    <t>RH-0032</t>
  </si>
  <si>
    <t>薛季国</t>
  </si>
  <si>
    <t>32092519791229675X</t>
  </si>
  <si>
    <t>只交医保</t>
  </si>
  <si>
    <t>RH-0078</t>
  </si>
  <si>
    <t>夏咸玉</t>
  </si>
  <si>
    <t>320925199002143921</t>
  </si>
  <si>
    <t>RH-0080</t>
  </si>
  <si>
    <t>成国香</t>
  </si>
  <si>
    <t>32092419941228806X</t>
  </si>
  <si>
    <t>沈玉国</t>
  </si>
  <si>
    <t>320925196407237412</t>
  </si>
  <si>
    <t>后勤</t>
  </si>
  <si>
    <t>门卫</t>
  </si>
  <si>
    <t>RH-0075</t>
  </si>
  <si>
    <t>王庚兄</t>
  </si>
  <si>
    <t>3209251963114748X</t>
  </si>
  <si>
    <t>RH-0069</t>
  </si>
  <si>
    <t>匡艳</t>
  </si>
  <si>
    <t>320925198511282546</t>
  </si>
  <si>
    <t>采购部</t>
  </si>
  <si>
    <t>采购</t>
  </si>
  <si>
    <t>李成兰</t>
  </si>
  <si>
    <t>32092519810821202X</t>
  </si>
  <si>
    <t>粉线操作工</t>
  </si>
  <si>
    <t>1.12早9:15入职，未打卡</t>
  </si>
  <si>
    <t>RH-0076</t>
  </si>
  <si>
    <t>高凤华</t>
  </si>
  <si>
    <t>320925199611047214</t>
  </si>
  <si>
    <t>技术部</t>
  </si>
  <si>
    <t>5000底薪</t>
  </si>
  <si>
    <t>劳动合同</t>
  </si>
  <si>
    <t>仁越</t>
  </si>
  <si>
    <t>夏清</t>
  </si>
  <si>
    <t>320925198306152021</t>
  </si>
  <si>
    <t>护理包</t>
  </si>
  <si>
    <t>RH-0103</t>
  </si>
  <si>
    <t>孙翠兰</t>
  </si>
  <si>
    <t>320925197310233161</t>
  </si>
  <si>
    <t>苏井妹</t>
  </si>
  <si>
    <t>320925197708263627</t>
  </si>
  <si>
    <t>吴萌萌</t>
  </si>
  <si>
    <t>人事部</t>
  </si>
  <si>
    <t>RH-0058</t>
  </si>
  <si>
    <t>徐伯华</t>
  </si>
  <si>
    <t>32092519640114061X</t>
  </si>
  <si>
    <t>13901410003</t>
  </si>
  <si>
    <t>王美丽</t>
  </si>
  <si>
    <t>320925198102073620</t>
  </si>
  <si>
    <t>无</t>
  </si>
  <si>
    <t>潘先娣</t>
  </si>
  <si>
    <t>320925198912262546</t>
  </si>
  <si>
    <t>肖龙政</t>
  </si>
  <si>
    <t>320925198406202831</t>
  </si>
  <si>
    <t>徐蕾</t>
  </si>
  <si>
    <t>320925198910260029</t>
  </si>
  <si>
    <t>市场部</t>
  </si>
  <si>
    <t>王建容</t>
  </si>
  <si>
    <t>320925199008082023</t>
  </si>
  <si>
    <t>代亚萍</t>
  </si>
  <si>
    <t>320925198609222023</t>
  </si>
  <si>
    <t>张兴兰</t>
  </si>
  <si>
    <t>320925199006123944</t>
  </si>
  <si>
    <t>2.21晚离职</t>
  </si>
  <si>
    <t>吕艳兰</t>
  </si>
  <si>
    <t>320925198912216726</t>
  </si>
  <si>
    <t>韩玉祥</t>
  </si>
  <si>
    <t>320925197112195811</t>
  </si>
  <si>
    <t>2.26早离职</t>
  </si>
  <si>
    <t>朱贵祥</t>
  </si>
  <si>
    <t>320925197208026713</t>
  </si>
  <si>
    <t>沈朝</t>
  </si>
  <si>
    <t>320925197009251416</t>
  </si>
  <si>
    <t>张永花</t>
  </si>
  <si>
    <t>320925198012132041</t>
  </si>
  <si>
    <t>花丽丽</t>
  </si>
  <si>
    <t>320925197411236425</t>
  </si>
  <si>
    <t>夏文功</t>
  </si>
  <si>
    <t>卸货工</t>
  </si>
  <si>
    <t>徐金宏</t>
  </si>
  <si>
    <t>320925197503287215</t>
  </si>
  <si>
    <t>钱维秀</t>
  </si>
  <si>
    <t>320925197001177223</t>
  </si>
  <si>
    <t>戴中秀</t>
  </si>
  <si>
    <t>320925198103013128</t>
  </si>
  <si>
    <t>许红芳</t>
  </si>
  <si>
    <t>320925198212072848</t>
  </si>
  <si>
    <t>粉线</t>
  </si>
  <si>
    <t>葛晓飞</t>
  </si>
  <si>
    <t>51102319850216346X</t>
  </si>
  <si>
    <t>田文凤</t>
  </si>
  <si>
    <t>412727198611076120</t>
  </si>
  <si>
    <t>刘荣</t>
  </si>
  <si>
    <t>320925198902011436</t>
  </si>
  <si>
    <t>3月15日最后工作日</t>
  </si>
  <si>
    <t>技术文员</t>
  </si>
  <si>
    <t>许长春</t>
  </si>
  <si>
    <t>320925198901253919</t>
  </si>
  <si>
    <t>3月10日最后工作日</t>
  </si>
  <si>
    <t>苗倩</t>
  </si>
  <si>
    <t>320925199309032820</t>
  </si>
  <si>
    <t>赵春连</t>
  </si>
  <si>
    <t>320925199002261477</t>
  </si>
  <si>
    <t>3月14日最后工作日</t>
  </si>
  <si>
    <t>工艺员</t>
  </si>
  <si>
    <t>许洪琴</t>
  </si>
  <si>
    <t>320925197511283640</t>
  </si>
  <si>
    <t>颜正朋</t>
  </si>
  <si>
    <t>320925199811142515</t>
  </si>
  <si>
    <t>3月18日最后工作日</t>
  </si>
  <si>
    <t>陈艳艳</t>
  </si>
  <si>
    <t>520111199712153927</t>
  </si>
  <si>
    <t>3月19日最后工作日</t>
  </si>
  <si>
    <t>洪玲</t>
  </si>
  <si>
    <t>130626199007193201</t>
  </si>
  <si>
    <t>3月4日最后工作日</t>
  </si>
  <si>
    <t>办公室</t>
  </si>
  <si>
    <t>2.19未打卡 2.20早录了指纹</t>
  </si>
  <si>
    <t>32092319850620724X</t>
  </si>
  <si>
    <t>13912570972</t>
  </si>
  <si>
    <t>3月26日最后工作日</t>
  </si>
  <si>
    <t>陶咏梅</t>
  </si>
  <si>
    <t>34120419891219084X</t>
  </si>
  <si>
    <t>王丽娟</t>
  </si>
  <si>
    <t>320925198908251925</t>
  </si>
  <si>
    <t>3月31日最后工作日</t>
  </si>
  <si>
    <t>RH-0050</t>
  </si>
  <si>
    <t>张大兵</t>
  </si>
  <si>
    <t>320925198303286910</t>
  </si>
  <si>
    <t>3月28日最后工作日</t>
  </si>
  <si>
    <t>RH-0067</t>
  </si>
  <si>
    <t>沈祥</t>
  </si>
  <si>
    <t>320925197209190056</t>
  </si>
  <si>
    <t>成品库管</t>
  </si>
  <si>
    <t>泽越</t>
  </si>
  <si>
    <t>马超</t>
  </si>
  <si>
    <t>320925196207146751</t>
  </si>
  <si>
    <t>RH-0081</t>
  </si>
  <si>
    <t>武廷海</t>
  </si>
  <si>
    <t>320925197612155816</t>
  </si>
  <si>
    <t>王言猛</t>
  </si>
  <si>
    <t>320925198307302511</t>
  </si>
  <si>
    <t>320925199706084229</t>
  </si>
  <si>
    <t>张嘉琳</t>
  </si>
  <si>
    <t>320925200203236724</t>
  </si>
  <si>
    <t>陈建云</t>
  </si>
  <si>
    <t>320925197305160041</t>
  </si>
  <si>
    <t>刘扣筛</t>
  </si>
  <si>
    <t>320923198208246611</t>
  </si>
  <si>
    <t>阮义龙</t>
  </si>
  <si>
    <t>320925199406021437</t>
  </si>
  <si>
    <t>维修工</t>
  </si>
  <si>
    <t>夏玉秀</t>
  </si>
  <si>
    <t>320925197512081522</t>
  </si>
  <si>
    <t>5月3日最后工作日</t>
  </si>
  <si>
    <t>周琴</t>
  </si>
  <si>
    <t>32092519761226254X</t>
  </si>
  <si>
    <t>项平</t>
  </si>
  <si>
    <t>320925197001090013</t>
  </si>
  <si>
    <t>5月2日最后工作日</t>
  </si>
  <si>
    <t>王建平</t>
  </si>
  <si>
    <t>320925197902212030</t>
  </si>
  <si>
    <t>李长芬</t>
  </si>
  <si>
    <t>嵇海艳</t>
  </si>
  <si>
    <t>32092519791114202X</t>
  </si>
  <si>
    <t>徐建高</t>
  </si>
  <si>
    <t>320925197212036439</t>
  </si>
  <si>
    <t>3月13日最后工作日</t>
  </si>
  <si>
    <t>张建琴</t>
  </si>
  <si>
    <t>532226197812040342</t>
  </si>
  <si>
    <t>刘广娟</t>
  </si>
  <si>
    <t>320925199106303627</t>
  </si>
  <si>
    <t>孙琴</t>
  </si>
  <si>
    <t>刘汉银</t>
  </si>
  <si>
    <t>320925197806251435</t>
  </si>
  <si>
    <t>唐朝坤</t>
  </si>
  <si>
    <t>512221197503243212</t>
  </si>
  <si>
    <t>6月12日晚最后工作日</t>
  </si>
  <si>
    <t>维修技术</t>
  </si>
  <si>
    <t>徐春巧</t>
  </si>
  <si>
    <t>320925196810242529</t>
  </si>
  <si>
    <t>刘学英</t>
  </si>
  <si>
    <t>外包</t>
  </si>
  <si>
    <t>孙环江</t>
  </si>
  <si>
    <t>320925196712211411</t>
  </si>
  <si>
    <t>蒋立巧</t>
  </si>
  <si>
    <t>320925198610102045</t>
  </si>
  <si>
    <t>张婷婷</t>
  </si>
  <si>
    <t>320826198901193443</t>
  </si>
  <si>
    <t>会计</t>
  </si>
  <si>
    <t>张成忠</t>
  </si>
  <si>
    <t>320925197608141438</t>
  </si>
  <si>
    <t>唐崇伟</t>
  </si>
  <si>
    <t>320925198911272814</t>
  </si>
  <si>
    <t>张海娟</t>
  </si>
  <si>
    <t>410381198805053087</t>
  </si>
  <si>
    <t>仓管</t>
  </si>
  <si>
    <t>徐中艳</t>
  </si>
  <si>
    <t>朱秀栾</t>
  </si>
  <si>
    <t>32091197112110648</t>
  </si>
  <si>
    <t>徐春刚</t>
  </si>
  <si>
    <t>32092519740120581X</t>
  </si>
  <si>
    <t>RH-0128</t>
  </si>
  <si>
    <t>张淑莹</t>
  </si>
  <si>
    <t>320925199105214227</t>
  </si>
  <si>
    <t>程玉梅</t>
  </si>
  <si>
    <t>321023198712186445</t>
  </si>
  <si>
    <t>陆媛媛</t>
  </si>
  <si>
    <t>320923199008225140</t>
  </si>
  <si>
    <t>何玉芬</t>
  </si>
  <si>
    <t>320925197612111469</t>
  </si>
  <si>
    <t>朱红兰</t>
  </si>
  <si>
    <t>320925198203131447</t>
  </si>
  <si>
    <t>刘柏方</t>
  </si>
  <si>
    <t>320925200011236412</t>
  </si>
  <si>
    <t>唐金</t>
  </si>
  <si>
    <t>320925198510261217</t>
  </si>
  <si>
    <t>刘加云</t>
  </si>
  <si>
    <t>32093197911175742</t>
  </si>
  <si>
    <t>王玉格</t>
  </si>
  <si>
    <t>320922197507072729</t>
  </si>
  <si>
    <t>嵇姗姗</t>
  </si>
  <si>
    <t>320925198805110029</t>
  </si>
  <si>
    <t>卞庆翠</t>
  </si>
  <si>
    <t>320923197704125726</t>
  </si>
  <si>
    <t>杨国霞</t>
  </si>
  <si>
    <t>320923198506246062</t>
  </si>
  <si>
    <t>商桂东</t>
  </si>
  <si>
    <t>320925196802021451</t>
  </si>
  <si>
    <t>RH-0059</t>
  </si>
  <si>
    <t>程丽娜</t>
  </si>
  <si>
    <t>152827198512263627</t>
  </si>
  <si>
    <t>15365591795</t>
  </si>
  <si>
    <t>有合同</t>
  </si>
  <si>
    <t>RH-0038</t>
  </si>
  <si>
    <t>陆文珍</t>
  </si>
  <si>
    <t>320925196703022045</t>
  </si>
  <si>
    <t>无资料</t>
  </si>
  <si>
    <t>王加云</t>
  </si>
  <si>
    <t>320925197705021462</t>
  </si>
  <si>
    <t>王德展</t>
  </si>
  <si>
    <t>320924197701214818</t>
  </si>
  <si>
    <t>戴国峰</t>
  </si>
  <si>
    <t>320925197812093613</t>
  </si>
  <si>
    <t>陆银粉</t>
  </si>
  <si>
    <t>320925198202074225</t>
  </si>
  <si>
    <t>陶韬</t>
  </si>
  <si>
    <t>321111198101216131</t>
  </si>
  <si>
    <t>唐为方</t>
  </si>
  <si>
    <t>32092519780525612X</t>
  </si>
  <si>
    <t>8点</t>
  </si>
  <si>
    <t>祁旺</t>
  </si>
  <si>
    <t>320925197804037451</t>
  </si>
  <si>
    <t>陈学娣</t>
  </si>
  <si>
    <t>320925198409253124</t>
  </si>
  <si>
    <t>18451328208</t>
  </si>
  <si>
    <t>高海艳</t>
  </si>
  <si>
    <t>320925197805306748</t>
  </si>
  <si>
    <t>唐从兰</t>
  </si>
  <si>
    <t>320925196805016746</t>
  </si>
  <si>
    <t>陈正巧</t>
  </si>
  <si>
    <t>32092519730309452X</t>
  </si>
  <si>
    <t>季立美</t>
  </si>
  <si>
    <t>320925197105215845</t>
  </si>
  <si>
    <t>周中巧</t>
  </si>
  <si>
    <t>320925198107055843</t>
  </si>
  <si>
    <t>卢忠凤</t>
  </si>
  <si>
    <t>32092519800209642X</t>
  </si>
  <si>
    <t>罗那解</t>
  </si>
  <si>
    <t>320925198711013965</t>
  </si>
  <si>
    <t>吴海芳</t>
  </si>
  <si>
    <t>320925198211263925</t>
  </si>
  <si>
    <t>马玉兰</t>
  </si>
  <si>
    <t>320922198005051121</t>
  </si>
  <si>
    <t>李朝蕊</t>
  </si>
  <si>
    <t>533526198506260226</t>
  </si>
  <si>
    <t xml:space="preserve"> </t>
  </si>
  <si>
    <t>李乃香</t>
  </si>
  <si>
    <t>320925198912046720</t>
  </si>
  <si>
    <t>刘巧</t>
  </si>
  <si>
    <t>320925197603024224</t>
  </si>
  <si>
    <t>马兴</t>
  </si>
  <si>
    <t>130182198902135322</t>
  </si>
  <si>
    <t>15369363365</t>
  </si>
  <si>
    <t>技术专员</t>
  </si>
  <si>
    <t>RH-0072</t>
  </si>
  <si>
    <t>王达胜</t>
  </si>
  <si>
    <t>430923198208243256</t>
  </si>
  <si>
    <t>RH-0088</t>
  </si>
  <si>
    <t>郑士德</t>
  </si>
  <si>
    <t>32092519570815611X</t>
  </si>
  <si>
    <t>吕生妹</t>
  </si>
  <si>
    <t>32092519610219612X</t>
  </si>
  <si>
    <t>RH-0112</t>
  </si>
  <si>
    <t>苗建芹</t>
  </si>
  <si>
    <t>320923198110174525</t>
  </si>
  <si>
    <t>液线</t>
  </si>
  <si>
    <t>陈桂萍</t>
  </si>
  <si>
    <t>320925198012062020</t>
  </si>
  <si>
    <t>陈建超</t>
  </si>
  <si>
    <t>320925198009152017</t>
  </si>
  <si>
    <t>王萍</t>
  </si>
  <si>
    <t>320922200111181421</t>
  </si>
  <si>
    <t>RH-0136</t>
  </si>
  <si>
    <t>朱荣建</t>
  </si>
  <si>
    <t>320925198110280256</t>
  </si>
  <si>
    <t>生产管理</t>
  </si>
  <si>
    <t>RH-0057</t>
  </si>
  <si>
    <t>320925199606202523</t>
  </si>
  <si>
    <t>18362464400</t>
  </si>
  <si>
    <t>生产文员</t>
  </si>
  <si>
    <t>离职</t>
  </si>
  <si>
    <t>高军利</t>
  </si>
  <si>
    <t>410922197905014518</t>
  </si>
  <si>
    <t>张加华</t>
  </si>
  <si>
    <t>320924199009102536</t>
  </si>
  <si>
    <t>宋红丽</t>
  </si>
  <si>
    <t>342129198110270840</t>
  </si>
  <si>
    <t>10月8日晚离职</t>
  </si>
  <si>
    <t>朱春玲</t>
  </si>
  <si>
    <t>320923198312161861</t>
  </si>
  <si>
    <t>同康祥泰</t>
  </si>
  <si>
    <t>许小颖</t>
  </si>
  <si>
    <t>320682198709265785</t>
  </si>
  <si>
    <t>汤春惠</t>
  </si>
  <si>
    <t>320925198802041427</t>
  </si>
  <si>
    <t>王艾珂</t>
  </si>
  <si>
    <t>320925200302030027</t>
  </si>
  <si>
    <t>刘凤芹</t>
  </si>
  <si>
    <t>320925197606036423</t>
  </si>
  <si>
    <t>胥兰芹</t>
  </si>
  <si>
    <t>320925197606050022</t>
  </si>
  <si>
    <t>RH-0140</t>
  </si>
  <si>
    <t>臧文斌</t>
  </si>
  <si>
    <t>320925198911245111</t>
  </si>
  <si>
    <t>肖龙季</t>
  </si>
  <si>
    <t>320925196801101214</t>
  </si>
  <si>
    <t>黄三保</t>
  </si>
  <si>
    <t>320925197405134289</t>
  </si>
  <si>
    <t>RH-0119</t>
  </si>
  <si>
    <t>姜维林</t>
  </si>
  <si>
    <t>320925197510012048</t>
  </si>
  <si>
    <t>许加华</t>
  </si>
  <si>
    <t>320925197401303612</t>
  </si>
  <si>
    <t>韩金梅</t>
  </si>
  <si>
    <t>320925198510292048</t>
  </si>
  <si>
    <t>姜志珊</t>
  </si>
  <si>
    <t>32132219841010263X</t>
  </si>
  <si>
    <t>吹塑维修工</t>
  </si>
  <si>
    <t>葛建</t>
  </si>
  <si>
    <t>320925199112261478</t>
  </si>
  <si>
    <t>设备维修</t>
  </si>
  <si>
    <t>陈明</t>
  </si>
  <si>
    <t>320925199002156730</t>
  </si>
  <si>
    <t>许磊</t>
  </si>
  <si>
    <t>320923198901211812</t>
  </si>
  <si>
    <t>王斯财</t>
  </si>
  <si>
    <t>320925198109186716</t>
  </si>
  <si>
    <t>八点半</t>
  </si>
  <si>
    <t>杨红梅</t>
  </si>
  <si>
    <t>320925198404213641</t>
  </si>
  <si>
    <t>孙金标</t>
  </si>
  <si>
    <t>320925198102052512</t>
  </si>
  <si>
    <t>领料工</t>
  </si>
  <si>
    <t>RH-0145</t>
  </si>
  <si>
    <t>唐秀芹</t>
  </si>
  <si>
    <t>320925198005162023</t>
  </si>
  <si>
    <t>RH-0120</t>
  </si>
  <si>
    <t>吴非</t>
  </si>
  <si>
    <t>320925199601091414</t>
  </si>
  <si>
    <t>13222355228</t>
  </si>
  <si>
    <t>库管</t>
  </si>
  <si>
    <t>张留红</t>
  </si>
  <si>
    <t>320925198905173641</t>
  </si>
  <si>
    <t>RH-0147</t>
  </si>
  <si>
    <t>皋萍兰</t>
  </si>
  <si>
    <t>320925197912175421</t>
  </si>
  <si>
    <t>操作工</t>
  </si>
  <si>
    <t>RH-0152</t>
  </si>
  <si>
    <t>夏玲</t>
  </si>
  <si>
    <t>320925198703103629</t>
  </si>
  <si>
    <t>RH-0044</t>
  </si>
  <si>
    <t>郭秀芹</t>
  </si>
  <si>
    <t>320925196605086723</t>
  </si>
  <si>
    <t>15365798606</t>
  </si>
  <si>
    <t>食堂阿姨</t>
  </si>
  <si>
    <t>肖英斌</t>
  </si>
  <si>
    <t>410928200201311218</t>
  </si>
  <si>
    <t>RH-0155</t>
  </si>
  <si>
    <t>孙洲</t>
  </si>
  <si>
    <t>320925199408043111</t>
  </si>
  <si>
    <t>驾驶员</t>
  </si>
  <si>
    <t>RH-0153</t>
  </si>
  <si>
    <t>薛正海</t>
  </si>
  <si>
    <t>320925197712103677</t>
  </si>
  <si>
    <t>RH-0154</t>
  </si>
  <si>
    <t>马登华</t>
  </si>
  <si>
    <t>32092519841010007X</t>
  </si>
  <si>
    <t>RH-0158</t>
  </si>
  <si>
    <t>张丽</t>
  </si>
  <si>
    <t>420982199104023841</t>
  </si>
  <si>
    <t>RH-0144</t>
  </si>
  <si>
    <t>黄兵</t>
  </si>
  <si>
    <t>32092519691015143X</t>
  </si>
  <si>
    <t>RH-0148</t>
  </si>
  <si>
    <t>杨姣</t>
  </si>
  <si>
    <t>320925198808210623</t>
  </si>
  <si>
    <t>RH-0151</t>
  </si>
  <si>
    <t>张红</t>
  </si>
  <si>
    <t>321324198902211421</t>
  </si>
  <si>
    <t>RH-0117</t>
  </si>
  <si>
    <t>卢菊花</t>
  </si>
  <si>
    <t>320882197608095023</t>
  </si>
  <si>
    <t>王志青</t>
  </si>
  <si>
    <t>320925196907143658</t>
  </si>
  <si>
    <t>RH-0167</t>
  </si>
  <si>
    <t>倪士英</t>
  </si>
  <si>
    <t>320925197509260044</t>
  </si>
  <si>
    <t>RH-0065</t>
  </si>
  <si>
    <t>吴金凤</t>
  </si>
  <si>
    <t>320923198110184264</t>
  </si>
  <si>
    <t>RH-0162</t>
  </si>
  <si>
    <t>吴一勇</t>
  </si>
  <si>
    <t>320925198802063650</t>
  </si>
  <si>
    <t>车间主任</t>
  </si>
  <si>
    <t>RH-0157</t>
  </si>
  <si>
    <t>田甜</t>
  </si>
  <si>
    <t>511023199008045542</t>
  </si>
  <si>
    <t>4月1日离职</t>
  </si>
  <si>
    <t>RH-0165</t>
  </si>
  <si>
    <t>徐杰</t>
  </si>
  <si>
    <t>320923198604177822</t>
  </si>
  <si>
    <t>RH-0161</t>
  </si>
  <si>
    <t>王光志</t>
  </si>
  <si>
    <t>522428198401181235</t>
  </si>
  <si>
    <t>工资已结算</t>
  </si>
  <si>
    <t>RH-0163</t>
  </si>
  <si>
    <t>孙陆奇</t>
  </si>
  <si>
    <t>320922199906292031</t>
  </si>
  <si>
    <t>4月23日离职</t>
  </si>
  <si>
    <t>RH-0166</t>
  </si>
  <si>
    <t>时政</t>
  </si>
  <si>
    <t>130227198809292834</t>
  </si>
  <si>
    <t>设备工程师</t>
  </si>
  <si>
    <t>4月23日离职工资已结算</t>
  </si>
  <si>
    <t>RH-0039</t>
  </si>
  <si>
    <t>谢小艳</t>
  </si>
  <si>
    <t>34242519890615474X</t>
  </si>
  <si>
    <t>RH-0156</t>
  </si>
  <si>
    <t>何秋月</t>
  </si>
  <si>
    <t>320925198911036168</t>
  </si>
  <si>
    <t>RH-0114</t>
  </si>
  <si>
    <t>魏阿芳</t>
  </si>
  <si>
    <t>320923198612255122</t>
  </si>
  <si>
    <t>RH-0115</t>
  </si>
  <si>
    <t>装卸工</t>
  </si>
  <si>
    <t>5月30日离职</t>
  </si>
  <si>
    <t>RH-0028</t>
  </si>
  <si>
    <t>陆文艳</t>
  </si>
  <si>
    <t>320925198905126722</t>
  </si>
  <si>
    <t>QA</t>
  </si>
  <si>
    <t>RH-0172</t>
  </si>
  <si>
    <t>符为坤</t>
  </si>
  <si>
    <t>320925198710306133</t>
  </si>
  <si>
    <t>RH-0174</t>
  </si>
  <si>
    <t>RH-0175</t>
  </si>
  <si>
    <t>杨杨</t>
  </si>
  <si>
    <t>320925198510166754</t>
  </si>
  <si>
    <t>RH-0176</t>
  </si>
  <si>
    <t>吴成乙</t>
  </si>
  <si>
    <t>320925199011105150</t>
  </si>
  <si>
    <t>RH-0179</t>
  </si>
  <si>
    <t>成本波</t>
  </si>
  <si>
    <t>320925197003197530</t>
  </si>
  <si>
    <t>RH-0083</t>
  </si>
  <si>
    <t>林成镇</t>
  </si>
  <si>
    <t>430923199008240813</t>
  </si>
  <si>
    <t>谌礼浪</t>
  </si>
  <si>
    <t>430923199001010011</t>
  </si>
  <si>
    <t>RH-0015</t>
  </si>
  <si>
    <t>姚正军</t>
  </si>
  <si>
    <t>320925197310310016</t>
  </si>
  <si>
    <t>姚群</t>
  </si>
  <si>
    <t>320925196908125849</t>
  </si>
  <si>
    <t>陈美存</t>
  </si>
  <si>
    <t>532233198006282927</t>
  </si>
  <si>
    <t>RH-0185</t>
  </si>
  <si>
    <t xml:space="preserve">农月玲 </t>
  </si>
  <si>
    <t>450121198303084844</t>
  </si>
  <si>
    <t>RH-0031</t>
  </si>
  <si>
    <t>曾海霞</t>
  </si>
  <si>
    <t>321023199009206023</t>
  </si>
  <si>
    <t>物流部</t>
  </si>
  <si>
    <t>物流经理</t>
  </si>
  <si>
    <t>RH-0150</t>
  </si>
  <si>
    <t>李舟</t>
  </si>
  <si>
    <t>320925198807142016</t>
  </si>
  <si>
    <t>RH-0194</t>
  </si>
  <si>
    <t>余来焕</t>
  </si>
  <si>
    <t>53244197006280320</t>
  </si>
  <si>
    <t>RH-0193</t>
  </si>
  <si>
    <t>朱红霞</t>
  </si>
  <si>
    <t>32092519771017392X</t>
  </si>
  <si>
    <t>RH-0192</t>
  </si>
  <si>
    <t>陈正银</t>
  </si>
  <si>
    <t>320925198102263643</t>
  </si>
  <si>
    <t>RH-0180</t>
  </si>
  <si>
    <t>蒋加林</t>
  </si>
  <si>
    <t>320925197309060611</t>
  </si>
  <si>
    <t>裴如成</t>
  </si>
  <si>
    <t>320925198712315735</t>
  </si>
  <si>
    <t>RH-0159</t>
  </si>
  <si>
    <t>宋俊凤</t>
  </si>
  <si>
    <t>320925198809101429</t>
  </si>
  <si>
    <t>RH-0169</t>
  </si>
  <si>
    <t>葛亚</t>
  </si>
  <si>
    <t>32092519900410423X</t>
  </si>
  <si>
    <t>RH-0042</t>
  </si>
  <si>
    <t>裴志</t>
  </si>
  <si>
    <t>32092319840420577X</t>
  </si>
  <si>
    <t>15251138598</t>
  </si>
  <si>
    <t>骏翔</t>
  </si>
  <si>
    <t>RH-0177</t>
  </si>
  <si>
    <t>潘小雨</t>
  </si>
  <si>
    <t>341225198504071536</t>
  </si>
  <si>
    <t>6月12日下午</t>
  </si>
  <si>
    <t>RH-0191</t>
  </si>
  <si>
    <t>单红珍</t>
  </si>
  <si>
    <t>320925197605102046</t>
  </si>
  <si>
    <t>RH-0197</t>
  </si>
  <si>
    <t>陈新红</t>
  </si>
  <si>
    <t>320925198004080616</t>
  </si>
  <si>
    <t>RH-0202</t>
  </si>
  <si>
    <t>张官华</t>
  </si>
  <si>
    <t>320925199702062815</t>
  </si>
  <si>
    <t>RH-0200</t>
  </si>
  <si>
    <t>陆风梅</t>
  </si>
  <si>
    <t>320925198211075828</t>
  </si>
  <si>
    <t>RH-0187</t>
  </si>
  <si>
    <t>沈美英</t>
  </si>
  <si>
    <t>372929198312126627</t>
  </si>
  <si>
    <t>RH-0070</t>
  </si>
  <si>
    <t>徐刚</t>
  </si>
  <si>
    <t>320925198711010617</t>
  </si>
  <si>
    <t>15145931799</t>
  </si>
  <si>
    <t>丁菲</t>
  </si>
  <si>
    <t>320925198701262028</t>
  </si>
  <si>
    <t>刘瑞丽</t>
  </si>
  <si>
    <t>411024198402260724</t>
  </si>
  <si>
    <t>远博</t>
  </si>
  <si>
    <t>RH-0171</t>
  </si>
  <si>
    <t>王爱勤</t>
  </si>
  <si>
    <t>320925198002193641</t>
  </si>
  <si>
    <t>骐悦</t>
  </si>
  <si>
    <t>RH-0183</t>
  </si>
  <si>
    <t>赵冬静</t>
  </si>
  <si>
    <t>320882198112153028</t>
  </si>
  <si>
    <t>RH-0201</t>
  </si>
  <si>
    <t>赵建发</t>
  </si>
  <si>
    <t>320925200006062016</t>
  </si>
  <si>
    <t>刘锦泉</t>
  </si>
  <si>
    <t>320925197803211470</t>
  </si>
  <si>
    <t>RH-0113</t>
  </si>
  <si>
    <t>王花</t>
  </si>
  <si>
    <t>320911198112010625</t>
  </si>
  <si>
    <t>RH-0207</t>
  </si>
  <si>
    <t xml:space="preserve">朱燕红 </t>
  </si>
  <si>
    <t>320925197709116143</t>
  </si>
  <si>
    <t>RH-0005</t>
  </si>
  <si>
    <t>葛鹤春</t>
  </si>
  <si>
    <t>320925196703280095</t>
  </si>
  <si>
    <t>销售经理</t>
  </si>
  <si>
    <t>RH-0195</t>
  </si>
  <si>
    <t>吴晓芳</t>
  </si>
  <si>
    <t>320925198011175445</t>
  </si>
  <si>
    <t>RH-0209</t>
  </si>
  <si>
    <t>薛大树</t>
  </si>
  <si>
    <t>320925198108016117</t>
  </si>
  <si>
    <t>13291252828</t>
  </si>
  <si>
    <t>RH-0203</t>
  </si>
  <si>
    <t>崔鑫</t>
  </si>
  <si>
    <t>320925200604227431</t>
  </si>
  <si>
    <t>RH-0205</t>
  </si>
  <si>
    <t>欧洋</t>
  </si>
  <si>
    <t>32092520060612541x</t>
  </si>
  <si>
    <t>RH-0214</t>
  </si>
  <si>
    <t>邵军凤</t>
  </si>
  <si>
    <t>320882198910173242</t>
  </si>
  <si>
    <t>RH-0215</t>
  </si>
  <si>
    <t>马美萍</t>
  </si>
  <si>
    <t>320925198304172029</t>
  </si>
  <si>
    <t>RH-0216</t>
  </si>
  <si>
    <t>周玲</t>
  </si>
  <si>
    <t>320925199001066426</t>
  </si>
  <si>
    <t>RH-0170</t>
  </si>
  <si>
    <t>周瑶</t>
  </si>
  <si>
    <t>320925199412156725</t>
  </si>
  <si>
    <t>周璐</t>
  </si>
  <si>
    <t>320923199001102746</t>
  </si>
  <si>
    <t>冯国慧</t>
  </si>
  <si>
    <t>320925199006276748</t>
  </si>
  <si>
    <t>RH-0217</t>
  </si>
  <si>
    <t>吴加娟</t>
  </si>
  <si>
    <t>320925198902032528</t>
  </si>
  <si>
    <t>RH-0210</t>
  </si>
  <si>
    <t>金远成</t>
  </si>
  <si>
    <t>320925199812160619</t>
  </si>
  <si>
    <t>王向红</t>
  </si>
  <si>
    <t>320923197707253942</t>
  </si>
  <si>
    <t>徐其慧</t>
  </si>
  <si>
    <t>320925197607055140</t>
  </si>
  <si>
    <t>RH-0218</t>
  </si>
  <si>
    <t>唐崇凤</t>
  </si>
  <si>
    <t>320925198910106726</t>
  </si>
  <si>
    <t>RH-0219</t>
  </si>
  <si>
    <t>韩加兰</t>
  </si>
  <si>
    <t>320925197305145861</t>
  </si>
  <si>
    <t>RH-0199</t>
  </si>
  <si>
    <t>王扣红</t>
  </si>
  <si>
    <t>320925198209033928</t>
  </si>
  <si>
    <t>朱冬梅</t>
  </si>
  <si>
    <t>320925198710024523</t>
  </si>
  <si>
    <t>宋艳敬</t>
  </si>
  <si>
    <t>371521198509100726</t>
  </si>
  <si>
    <t>RH-0211</t>
  </si>
  <si>
    <t>王震东</t>
  </si>
  <si>
    <t>320902198303220039</t>
  </si>
  <si>
    <t>杨帆</t>
  </si>
  <si>
    <t>320925198712176141</t>
  </si>
  <si>
    <t>RH-0222</t>
  </si>
  <si>
    <t>徐莹</t>
  </si>
  <si>
    <t>320925199604306441</t>
  </si>
  <si>
    <t>RH-0229</t>
  </si>
  <si>
    <t>孙青</t>
  </si>
  <si>
    <t>32092519880203362X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</si>
</sst>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/m/d;@"/>
  </numFmts>
  <fonts count="30">
    <font>
      <sz val="12"/>
      <name val="宋体"/>
      <charset val="134"/>
    </font>
    <font>
      <b/>
      <sz val="12"/>
      <name val="宋体"/>
      <charset val="134"/>
    </font>
    <font>
      <sz val="12"/>
      <color theme="8"/>
      <name val="宋体"/>
      <charset val="134"/>
    </font>
    <font>
      <sz val="12"/>
      <color rgb="FFFF0000"/>
      <name val="宋体"/>
      <charset val="134"/>
    </font>
    <font>
      <sz val="12"/>
      <color theme="1"/>
      <name val="宋体"/>
      <charset val="134"/>
    </font>
    <font>
      <sz val="12"/>
      <color rgb="FF4472C4"/>
      <name val="宋体"/>
      <charset val="134"/>
    </font>
    <font>
      <sz val="10"/>
      <name val="宋体"/>
      <charset val="134"/>
    </font>
    <font>
      <sz val="12"/>
      <color theme="4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/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indexed="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8"/>
      </right>
      <top/>
      <bottom/>
      <diagonal/>
    </border>
    <border>
      <left style="thin">
        <color auto="1"/>
      </left>
      <right style="thin">
        <color indexed="0"/>
      </right>
      <top style="thin">
        <color auto="1"/>
      </top>
      <bottom/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2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7" applyNumberFormat="0" applyFill="0" applyAlignment="0" applyProtection="0">
      <alignment vertical="center"/>
    </xf>
    <xf numFmtId="0" fontId="17" fillId="0" borderId="27" applyNumberFormat="0" applyFill="0" applyAlignment="0" applyProtection="0">
      <alignment vertical="center"/>
    </xf>
    <xf numFmtId="0" fontId="18" fillId="0" borderId="2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29" applyNumberFormat="0" applyAlignment="0" applyProtection="0">
      <alignment vertical="center"/>
    </xf>
    <xf numFmtId="0" fontId="20" fillId="7" borderId="30" applyNumberFormat="0" applyAlignment="0" applyProtection="0">
      <alignment vertical="center"/>
    </xf>
    <xf numFmtId="0" fontId="21" fillId="7" borderId="29" applyNumberFormat="0" applyAlignment="0" applyProtection="0">
      <alignment vertical="center"/>
    </xf>
    <xf numFmtId="0" fontId="22" fillId="8" borderId="31" applyNumberFormat="0" applyAlignment="0" applyProtection="0">
      <alignment vertical="center"/>
    </xf>
    <xf numFmtId="0" fontId="23" fillId="0" borderId="32" applyNumberFormat="0" applyFill="0" applyAlignment="0" applyProtection="0">
      <alignment vertical="center"/>
    </xf>
    <xf numFmtId="0" fontId="24" fillId="0" borderId="33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205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0" fillId="0" borderId="0" xfId="0" applyFont="1" applyAlignment="1">
      <alignment horizontal="center" vertical="center"/>
    </xf>
    <xf numFmtId="0" fontId="0" fillId="0" borderId="2" xfId="0" applyBorder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5" fillId="0" borderId="1" xfId="0" applyFont="1" applyBorder="1">
      <alignment vertical="center"/>
    </xf>
    <xf numFmtId="0" fontId="0" fillId="2" borderId="0" xfId="0" applyFill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178" fontId="0" fillId="0" borderId="1" xfId="0" applyNumberFormat="1" applyFont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78" fontId="0" fillId="0" borderId="1" xfId="0" applyNumberFormat="1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1" xfId="0" applyFont="1" applyBorder="1">
      <alignment vertical="center"/>
    </xf>
    <xf numFmtId="0" fontId="0" fillId="0" borderId="1" xfId="0" applyNumberFormat="1" applyFont="1" applyBorder="1">
      <alignment vertical="center"/>
    </xf>
    <xf numFmtId="58" fontId="0" fillId="0" borderId="1" xfId="0" applyNumberFormat="1" applyFont="1" applyBorder="1" applyAlignment="1">
      <alignment horizontal="center" vertical="center"/>
    </xf>
    <xf numFmtId="58" fontId="0" fillId="0" borderId="1" xfId="0" applyNumberFormat="1" applyFont="1" applyBorder="1" applyAlignment="1">
      <alignment horizontal="center" vertical="center"/>
    </xf>
    <xf numFmtId="58" fontId="0" fillId="0" borderId="1" xfId="0" applyNumberFormat="1" applyFont="1" applyBorder="1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58" fontId="0" fillId="0" borderId="2" xfId="0" applyNumberFormat="1" applyFont="1" applyBorder="1" applyAlignment="1">
      <alignment horizontal="center" vertical="center"/>
    </xf>
    <xf numFmtId="178" fontId="0" fillId="0" borderId="1" xfId="0" applyNumberFormat="1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58" fontId="0" fillId="0" borderId="1" xfId="0" applyNumberFormat="1" applyFont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58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center" vertical="center"/>
    </xf>
    <xf numFmtId="58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58" fontId="0" fillId="0" borderId="6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58" fontId="0" fillId="0" borderId="1" xfId="0" applyNumberForma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58" fontId="4" fillId="0" borderId="1" xfId="0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58" fontId="0" fillId="0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58" fontId="0" fillId="0" borderId="8" xfId="0" applyNumberFormat="1" applyFill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58" fontId="0" fillId="0" borderId="11" xfId="0" applyNumberFormat="1" applyFont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58" fontId="0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3" xfId="0" applyBorder="1">
      <alignment vertical="center"/>
    </xf>
    <xf numFmtId="0" fontId="0" fillId="0" borderId="6" xfId="0" applyBorder="1">
      <alignment vertical="center"/>
    </xf>
    <xf numFmtId="0" fontId="0" fillId="0" borderId="3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58" fontId="0" fillId="0" borderId="1" xfId="0" applyNumberFormat="1" applyFont="1" applyBorder="1" applyAlignment="1">
      <alignment horizontal="center" vertical="center"/>
    </xf>
    <xf numFmtId="0" fontId="0" fillId="0" borderId="11" xfId="0" applyFont="1" applyBorder="1">
      <alignment vertical="center"/>
    </xf>
    <xf numFmtId="0" fontId="0" fillId="0" borderId="11" xfId="0" applyFont="1" applyBorder="1">
      <alignment vertical="center"/>
    </xf>
    <xf numFmtId="0" fontId="0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1" xfId="0" applyFont="1" applyBorder="1">
      <alignment vertical="center"/>
    </xf>
    <xf numFmtId="0" fontId="0" fillId="0" borderId="7" xfId="0" applyBorder="1">
      <alignment vertical="center"/>
    </xf>
    <xf numFmtId="0" fontId="0" fillId="0" borderId="14" xfId="0" applyBorder="1">
      <alignment vertical="center"/>
    </xf>
    <xf numFmtId="0" fontId="0" fillId="0" borderId="3" xfId="0" applyBorder="1">
      <alignment vertical="center"/>
    </xf>
    <xf numFmtId="0" fontId="0" fillId="0" borderId="14" xfId="0" applyBorder="1" applyAlignment="1">
      <alignment horizontal="center" vertical="center"/>
    </xf>
    <xf numFmtId="58" fontId="0" fillId="0" borderId="14" xfId="0" applyNumberForma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0" fillId="0" borderId="15" xfId="0" applyBorder="1" applyAlignment="1">
      <alignment horizontal="center" vertical="center"/>
    </xf>
    <xf numFmtId="58" fontId="0" fillId="0" borderId="15" xfId="0" applyNumberFormat="1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14" xfId="0" applyFont="1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58" fontId="0" fillId="0" borderId="1" xfId="0" applyNumberFormat="1" applyBorder="1">
      <alignment vertical="center"/>
    </xf>
    <xf numFmtId="0" fontId="0" fillId="0" borderId="2" xfId="0" applyBorder="1">
      <alignment vertical="center"/>
    </xf>
    <xf numFmtId="0" fontId="0" fillId="0" borderId="18" xfId="0" applyBorder="1">
      <alignment vertical="center"/>
    </xf>
    <xf numFmtId="0" fontId="0" fillId="0" borderId="7" xfId="0" applyFont="1" applyBorder="1" applyAlignment="1">
      <alignment horizontal="center" vertical="center"/>
    </xf>
    <xf numFmtId="178" fontId="0" fillId="0" borderId="7" xfId="0" applyNumberFormat="1" applyFont="1" applyBorder="1" applyAlignment="1">
      <alignment horizontal="center" vertical="center"/>
    </xf>
    <xf numFmtId="178" fontId="0" fillId="0" borderId="12" xfId="0" applyNumberFormat="1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58" fontId="0" fillId="0" borderId="2" xfId="0" applyNumberFormat="1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58" fontId="0" fillId="0" borderId="1" xfId="0" applyNumberFormat="1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58" fontId="0" fillId="0" borderId="2" xfId="0" applyNumberFormat="1" applyBorder="1" applyAlignment="1">
      <alignment horizontal="center" vertical="center"/>
    </xf>
    <xf numFmtId="0" fontId="0" fillId="0" borderId="21" xfId="0" applyBorder="1">
      <alignment vertical="center"/>
    </xf>
    <xf numFmtId="0" fontId="0" fillId="4" borderId="1" xfId="0" applyFont="1" applyFill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7" xfId="0" applyBorder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58" fontId="5" fillId="0" borderId="2" xfId="0" applyNumberFormat="1" applyFont="1" applyBorder="1" applyAlignment="1">
      <alignment horizontal="center" vertical="center"/>
    </xf>
    <xf numFmtId="0" fontId="5" fillId="0" borderId="0" xfId="0" applyFont="1" applyBorder="1">
      <alignment vertical="center"/>
    </xf>
    <xf numFmtId="0" fontId="5" fillId="0" borderId="11" xfId="0" applyFont="1" applyBorder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58" fontId="4" fillId="0" borderId="5" xfId="0" applyNumberFormat="1" applyFont="1" applyBorder="1" applyAlignment="1">
      <alignment horizontal="center" vertical="center"/>
    </xf>
    <xf numFmtId="0" fontId="4" fillId="0" borderId="5" xfId="0" applyFont="1" applyBorder="1">
      <alignment vertical="center"/>
    </xf>
    <xf numFmtId="0" fontId="0" fillId="0" borderId="5" xfId="0" applyFont="1" applyBorder="1" applyAlignment="1">
      <alignment horizontal="center" vertical="center"/>
    </xf>
    <xf numFmtId="0" fontId="0" fillId="0" borderId="5" xfId="0" applyNumberFormat="1" applyFont="1" applyBorder="1" applyAlignment="1">
      <alignment horizontal="center" vertical="center"/>
    </xf>
    <xf numFmtId="178" fontId="0" fillId="0" borderId="5" xfId="0" applyNumberFormat="1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0" fillId="2" borderId="1" xfId="0" applyFill="1" applyBorder="1" applyAlignment="1">
      <alignment horizontal="center" vertical="center"/>
    </xf>
    <xf numFmtId="58" fontId="0" fillId="2" borderId="1" xfId="0" applyNumberForma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7" xfId="0" applyFill="1" applyBorder="1">
      <alignment vertical="center"/>
    </xf>
    <xf numFmtId="0" fontId="2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58" fontId="4" fillId="0" borderId="1" xfId="0" applyNumberFormat="1" applyFont="1" applyBorder="1" applyAlignment="1">
      <alignment horizontal="center" vertical="center"/>
    </xf>
    <xf numFmtId="0" fontId="4" fillId="0" borderId="7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7" xfId="0" applyFill="1" applyBorder="1">
      <alignment vertical="center"/>
    </xf>
    <xf numFmtId="0" fontId="0" fillId="0" borderId="1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58" fontId="0" fillId="0" borderId="1" xfId="0" applyNumberForma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7" xfId="0" applyFill="1" applyBorder="1">
      <alignment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NumberFormat="1" applyFont="1" applyBorder="1" applyAlignment="1">
      <alignment horizontal="center" vertical="center"/>
    </xf>
    <xf numFmtId="178" fontId="0" fillId="0" borderId="22" xfId="0" applyNumberFormat="1" applyFont="1" applyBorder="1" applyAlignment="1">
      <alignment horizontal="center" vertical="center"/>
    </xf>
    <xf numFmtId="58" fontId="0" fillId="0" borderId="1" xfId="0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58" fontId="0" fillId="0" borderId="14" xfId="0" applyNumberFormat="1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25" xfId="0" applyBorder="1">
      <alignment vertical="center"/>
    </xf>
    <xf numFmtId="58" fontId="0" fillId="0" borderId="1" xfId="0" applyNumberForma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" xfId="0" applyFont="1" applyBorder="1" applyAlignment="1" quotePrefix="1">
      <alignment horizontal="center" vertical="center"/>
    </xf>
    <xf numFmtId="0" fontId="0" fillId="0" borderId="1" xfId="0" applyNumberFormat="1" applyFont="1" applyBorder="1" applyAlignment="1" quotePrefix="1">
      <alignment horizontal="center" vertical="center"/>
    </xf>
    <xf numFmtId="0" fontId="0" fillId="0" borderId="1" xfId="0" applyFont="1" applyFill="1" applyBorder="1" applyAlignment="1" quotePrefix="1">
      <alignment horizontal="center" vertical="center"/>
    </xf>
    <xf numFmtId="0" fontId="0" fillId="0" borderId="1" xfId="0" applyFont="1" applyBorder="1" quotePrefix="1">
      <alignment vertical="center"/>
    </xf>
    <xf numFmtId="0" fontId="0" fillId="0" borderId="1" xfId="0" applyFont="1" applyBorder="1" applyAlignment="1" quotePrefix="1">
      <alignment horizontal="center" vertical="center"/>
    </xf>
    <xf numFmtId="0" fontId="0" fillId="0" borderId="1" xfId="0" applyFont="1" applyBorder="1" applyAlignment="1" quotePrefix="1">
      <alignment horizontal="center" vertical="center"/>
    </xf>
    <xf numFmtId="0" fontId="4" fillId="0" borderId="1" xfId="0" applyFont="1" applyBorder="1" applyAlignment="1" quotePrefix="1">
      <alignment horizontal="center" vertical="center"/>
    </xf>
    <xf numFmtId="0" fontId="0" fillId="0" borderId="2" xfId="0" applyFont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0" fillId="0" borderId="5" xfId="0" applyBorder="1" applyAlignment="1" quotePrefix="1">
      <alignment horizontal="center" vertical="center"/>
    </xf>
    <xf numFmtId="0" fontId="0" fillId="0" borderId="6" xfId="0" applyBorder="1" applyAlignment="1" quotePrefix="1">
      <alignment horizontal="center" vertical="center"/>
    </xf>
    <xf numFmtId="0" fontId="0" fillId="0" borderId="1" xfId="0" applyFill="1" applyBorder="1" applyAlignment="1" quotePrefix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0" fillId="0" borderId="2" xfId="0" applyFill="1" applyBorder="1" applyAlignment="1" quotePrefix="1">
      <alignment horizontal="center" vertical="center"/>
    </xf>
    <xf numFmtId="0" fontId="0" fillId="0" borderId="0" xfId="0" applyFont="1" applyAlignment="1" quotePrefix="1">
      <alignment horizontal="center" vertical="center"/>
    </xf>
    <xf numFmtId="0" fontId="0" fillId="0" borderId="8" xfId="0" applyFill="1" applyBorder="1" applyAlignment="1" quotePrefix="1">
      <alignment horizontal="center" vertical="center"/>
    </xf>
    <xf numFmtId="0" fontId="0" fillId="0" borderId="1" xfId="0" applyFont="1" applyBorder="1" applyAlignment="1" quotePrefix="1">
      <alignment horizontal="center" vertical="center"/>
    </xf>
    <xf numFmtId="0" fontId="0" fillId="0" borderId="12" xfId="0" applyFill="1" applyBorder="1" applyAlignment="1" quotePrefix="1">
      <alignment horizontal="center" vertical="center"/>
    </xf>
    <xf numFmtId="0" fontId="0" fillId="0" borderId="1" xfId="0" applyFont="1" applyFill="1" applyBorder="1" applyAlignment="1" quotePrefix="1">
      <alignment horizontal="center" vertical="center"/>
    </xf>
    <xf numFmtId="0" fontId="0" fillId="0" borderId="14" xfId="0" applyBorder="1" applyAlignment="1" quotePrefix="1">
      <alignment horizontal="center" vertical="center"/>
    </xf>
    <xf numFmtId="0" fontId="0" fillId="0" borderId="15" xfId="0" applyBorder="1" applyAlignment="1" quotePrefix="1">
      <alignment horizontal="center" vertical="center"/>
    </xf>
    <xf numFmtId="0" fontId="0" fillId="0" borderId="7" xfId="0" applyFont="1" applyBorder="1" applyAlignment="1" quotePrefix="1">
      <alignment horizontal="center" vertical="center"/>
    </xf>
    <xf numFmtId="0" fontId="0" fillId="0" borderId="2" xfId="0" applyFont="1" applyFill="1" applyBorder="1" applyAlignment="1" quotePrefix="1">
      <alignment horizontal="center" vertical="center"/>
    </xf>
    <xf numFmtId="0" fontId="0" fillId="0" borderId="2" xfId="0" applyBorder="1" applyAlignment="1" quotePrefix="1">
      <alignment horizontal="center" vertical="center"/>
    </xf>
    <xf numFmtId="0" fontId="3" fillId="0" borderId="1" xfId="0" applyFont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5" fillId="0" borderId="2" xfId="0" applyFont="1" applyBorder="1" applyAlignment="1" quotePrefix="1">
      <alignment horizontal="center" vertical="center"/>
    </xf>
    <xf numFmtId="0" fontId="4" fillId="0" borderId="5" xfId="0" applyFont="1" applyBorder="1" applyAlignment="1" quotePrefix="1">
      <alignment horizontal="center" vertical="center"/>
    </xf>
    <xf numFmtId="0" fontId="0" fillId="2" borderId="1" xfId="0" applyFill="1" applyBorder="1" applyAlignment="1" quotePrefix="1">
      <alignment horizontal="center" vertical="center"/>
    </xf>
    <xf numFmtId="0" fontId="0" fillId="0" borderId="1" xfId="0" applyFont="1" applyFill="1" applyBorder="1" applyAlignment="1" quotePrefix="1">
      <alignment horizontal="center" vertical="center"/>
    </xf>
    <xf numFmtId="0" fontId="0" fillId="0" borderId="22" xfId="0" applyFont="1" applyBorder="1" applyAlignment="1" quotePrefix="1">
      <alignment horizontal="center" vertical="center"/>
    </xf>
    <xf numFmtId="0" fontId="0" fillId="0" borderId="14" xfId="0" applyBorder="1" applyAlignment="1" quotePrefix="1">
      <alignment horizontal="center" vertical="center"/>
    </xf>
    <xf numFmtId="0" fontId="0" fillId="0" borderId="1" xfId="0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363"/>
  <sheetViews>
    <sheetView tabSelected="1" topLeftCell="A346" workbookViewId="0">
      <selection activeCell="C333" sqref="C333"/>
    </sheetView>
  </sheetViews>
  <sheetFormatPr defaultColWidth="9" defaultRowHeight="15.75"/>
  <cols>
    <col min="1" max="1" width="6.25" style="19" customWidth="1"/>
    <col min="2" max="2" width="8.75" style="19" customWidth="1"/>
    <col min="3" max="3" width="8.25" style="19" customWidth="1"/>
    <col min="4" max="4" width="21.175" style="19" customWidth="1"/>
    <col min="5" max="5" width="7" style="19" customWidth="1"/>
    <col min="6" max="6" width="6.75" style="19" customWidth="1"/>
    <col min="7" max="7" width="15.5" style="19" customWidth="1"/>
    <col min="8" max="8" width="11.25" style="19" customWidth="1"/>
    <col min="9" max="9" width="19.75" style="19" customWidth="1"/>
    <col min="10" max="10" width="18.375" style="19" customWidth="1"/>
    <col min="11" max="11" width="13.75" style="19" customWidth="1"/>
    <col min="12" max="12" width="12.875" style="19" customWidth="1"/>
    <col min="13" max="13" width="28.375" style="19" customWidth="1"/>
    <col min="14" max="14" width="12.325" style="19" customWidth="1"/>
    <col min="15" max="15" width="11.875" style="19" customWidth="1"/>
    <col min="16" max="16" width="14.625" style="19" customWidth="1"/>
    <col min="17" max="19" width="9" style="19"/>
    <col min="20" max="16384" width="9" style="4"/>
  </cols>
  <sheetData>
    <row r="1" s="1" customFormat="1" ht="31" customHeight="1" spans="1:256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</row>
    <row r="2" s="2" customFormat="1" ht="15" customHeight="1" spans="1:256">
      <c r="A2" s="21" t="s">
        <v>1</v>
      </c>
      <c r="B2" s="21" t="s">
        <v>2</v>
      </c>
      <c r="C2" s="21" t="s">
        <v>3</v>
      </c>
      <c r="D2" s="21" t="s">
        <v>4</v>
      </c>
      <c r="E2" s="21" t="s">
        <v>5</v>
      </c>
      <c r="F2" s="21" t="s">
        <v>6</v>
      </c>
      <c r="G2" s="22" t="s">
        <v>7</v>
      </c>
      <c r="H2" s="23" t="s">
        <v>8</v>
      </c>
      <c r="I2" s="23" t="s">
        <v>9</v>
      </c>
      <c r="J2" s="21" t="s">
        <v>10</v>
      </c>
      <c r="K2" s="21" t="s">
        <v>11</v>
      </c>
      <c r="L2" s="21" t="s">
        <v>12</v>
      </c>
      <c r="M2" s="21" t="s">
        <v>13</v>
      </c>
      <c r="N2" s="21" t="s">
        <v>14</v>
      </c>
      <c r="O2" s="21" t="s">
        <v>15</v>
      </c>
      <c r="P2" s="21" t="s">
        <v>16</v>
      </c>
      <c r="Q2" s="21" t="s">
        <v>17</v>
      </c>
      <c r="R2" s="21" t="s">
        <v>18</v>
      </c>
      <c r="S2" s="21" t="s">
        <v>19</v>
      </c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1"/>
    </row>
    <row r="3" s="3" customFormat="1" ht="15" customHeight="1" spans="1:256">
      <c r="A3" s="24">
        <v>1</v>
      </c>
      <c r="B3" s="25"/>
      <c r="C3" s="25" t="s">
        <v>20</v>
      </c>
      <c r="D3" s="25" t="s">
        <v>21</v>
      </c>
      <c r="E3" s="25" t="str">
        <f t="shared" ref="E3:E10" si="0">IF(MOD(MID(D3,17,1),2),"男","女")</f>
        <v>男</v>
      </c>
      <c r="F3" s="24">
        <f ca="1" t="shared" ref="F3:F10" si="1">YEAR(NOW())-MID(D3,7,4)</f>
        <v>58</v>
      </c>
      <c r="G3" s="26">
        <v>13851331705</v>
      </c>
      <c r="H3" s="27">
        <v>44288</v>
      </c>
      <c r="I3" s="27"/>
      <c r="J3" s="25" t="s">
        <v>22</v>
      </c>
      <c r="K3" s="24"/>
      <c r="L3" s="25" t="str">
        <f ca="1" t="shared" ref="L3:L52" si="2">DATEDIF(H3,TODAY(),"Y")&amp;"年"&amp;DATEDIF(H3,TODAY(),"YM")&amp;"个月"</f>
        <v>5年0个月</v>
      </c>
      <c r="M3" s="25" t="e">
        <f>IF(#REF!&lt;&gt;"","离职","在职")</f>
        <v>#REF!</v>
      </c>
      <c r="N3" s="24"/>
      <c r="O3" s="24"/>
      <c r="P3" s="24"/>
      <c r="Q3" s="24"/>
      <c r="R3" s="24"/>
      <c r="S3" s="24"/>
      <c r="IV3" s="1"/>
    </row>
    <row r="4" s="3" customFormat="1" ht="15" customHeight="1" spans="1:256">
      <c r="A4" s="24">
        <v>2</v>
      </c>
      <c r="B4" s="25"/>
      <c r="C4" s="25" t="s">
        <v>23</v>
      </c>
      <c r="D4" s="25" t="s">
        <v>24</v>
      </c>
      <c r="E4" s="25" t="str">
        <f t="shared" si="0"/>
        <v>男</v>
      </c>
      <c r="F4" s="24">
        <f ca="1" t="shared" si="1"/>
        <v>38</v>
      </c>
      <c r="G4" s="26">
        <v>13382637861</v>
      </c>
      <c r="H4" s="27">
        <v>44550</v>
      </c>
      <c r="I4" s="27"/>
      <c r="J4" s="25" t="s">
        <v>25</v>
      </c>
      <c r="K4" s="25" t="s">
        <v>26</v>
      </c>
      <c r="L4" s="25" t="str">
        <f ca="1" t="shared" si="2"/>
        <v>4年3个月</v>
      </c>
      <c r="M4" s="25" t="e">
        <f>IF(#REF!&lt;&gt;"","离职","在职")</f>
        <v>#REF!</v>
      </c>
      <c r="N4" s="24"/>
      <c r="O4" s="24"/>
      <c r="P4" s="24"/>
      <c r="Q4" s="24"/>
      <c r="R4" s="24"/>
      <c r="S4" s="24"/>
      <c r="IV4" s="1"/>
    </row>
    <row r="5" s="3" customFormat="1" ht="15" customHeight="1" spans="1:256">
      <c r="A5" s="24">
        <v>3</v>
      </c>
      <c r="B5" s="25"/>
      <c r="C5" s="25" t="s">
        <v>27</v>
      </c>
      <c r="D5" s="25" t="s">
        <v>28</v>
      </c>
      <c r="E5" s="25" t="str">
        <f t="shared" si="0"/>
        <v>女</v>
      </c>
      <c r="F5" s="24">
        <f ca="1" t="shared" si="1"/>
        <v>44</v>
      </c>
      <c r="G5" s="28" t="s">
        <v>29</v>
      </c>
      <c r="H5" s="27">
        <v>44630</v>
      </c>
      <c r="I5" s="27"/>
      <c r="J5" s="25" t="s">
        <v>22</v>
      </c>
      <c r="K5" s="24"/>
      <c r="L5" s="25" t="str">
        <f ca="1" t="shared" si="2"/>
        <v>4年1个月</v>
      </c>
      <c r="M5" s="25" t="e">
        <f>IF(#REF!&lt;&gt;"","离职","在职")</f>
        <v>#REF!</v>
      </c>
      <c r="N5" s="24"/>
      <c r="O5" s="24"/>
      <c r="P5" s="24"/>
      <c r="Q5" s="24"/>
      <c r="R5" s="24"/>
      <c r="S5" s="24"/>
      <c r="IV5" s="1"/>
    </row>
    <row r="6" s="3" customFormat="1" ht="15" customHeight="1" spans="1:256">
      <c r="A6" s="24">
        <v>4</v>
      </c>
      <c r="B6" s="25"/>
      <c r="C6" s="25" t="s">
        <v>30</v>
      </c>
      <c r="D6" s="205" t="s">
        <v>31</v>
      </c>
      <c r="E6" s="25" t="str">
        <f t="shared" si="0"/>
        <v>男</v>
      </c>
      <c r="F6" s="24">
        <f ca="1" t="shared" si="1"/>
        <v>27</v>
      </c>
      <c r="G6" s="28" t="s">
        <v>32</v>
      </c>
      <c r="H6" s="27">
        <v>44977</v>
      </c>
      <c r="I6" s="27"/>
      <c r="J6" s="25" t="s">
        <v>33</v>
      </c>
      <c r="K6" s="24"/>
      <c r="L6" s="25" t="str">
        <f ca="1" t="shared" si="2"/>
        <v>3年1个月</v>
      </c>
      <c r="M6" s="25" t="e">
        <f>IF(#REF!&lt;&gt;"","离职","在职")</f>
        <v>#REF!</v>
      </c>
      <c r="N6" s="24"/>
      <c r="O6" s="24"/>
      <c r="P6" s="24"/>
      <c r="Q6" s="24"/>
      <c r="R6" s="24"/>
      <c r="S6" s="24"/>
      <c r="IV6" s="1"/>
    </row>
    <row r="7" s="3" customFormat="1" ht="15" customHeight="1" spans="1:256">
      <c r="A7" s="24">
        <v>5</v>
      </c>
      <c r="B7" s="25"/>
      <c r="C7" s="25" t="s">
        <v>34</v>
      </c>
      <c r="D7" s="205" t="s">
        <v>35</v>
      </c>
      <c r="E7" s="25" t="str">
        <f t="shared" si="0"/>
        <v>女</v>
      </c>
      <c r="F7" s="24">
        <f ca="1" t="shared" si="1"/>
        <v>44</v>
      </c>
      <c r="G7" s="26">
        <v>13817643695</v>
      </c>
      <c r="H7" s="27">
        <v>45061</v>
      </c>
      <c r="I7" s="27"/>
      <c r="J7" s="25" t="s">
        <v>22</v>
      </c>
      <c r="K7" s="24"/>
      <c r="L7" s="25" t="str">
        <f ca="1" t="shared" si="2"/>
        <v>2年10个月</v>
      </c>
      <c r="M7" s="25" t="e">
        <f>IF(#REF!&lt;&gt;"","离职","在职")</f>
        <v>#REF!</v>
      </c>
      <c r="N7" s="24"/>
      <c r="O7" s="27"/>
      <c r="P7" s="24"/>
      <c r="Q7" s="24"/>
      <c r="R7" s="24"/>
      <c r="S7" s="24"/>
      <c r="IV7" s="1"/>
    </row>
    <row r="8" s="3" customFormat="1" ht="15" customHeight="1" spans="1:256">
      <c r="A8" s="24">
        <v>6</v>
      </c>
      <c r="B8" s="25"/>
      <c r="C8" s="25" t="s">
        <v>36</v>
      </c>
      <c r="D8" s="205" t="s">
        <v>37</v>
      </c>
      <c r="E8" s="25" t="str">
        <f t="shared" si="0"/>
        <v>男</v>
      </c>
      <c r="F8" s="24">
        <f ca="1" t="shared" si="1"/>
        <v>35</v>
      </c>
      <c r="G8" s="26">
        <v>18914601795</v>
      </c>
      <c r="H8" s="27">
        <v>45069</v>
      </c>
      <c r="I8" s="27"/>
      <c r="J8" s="25" t="s">
        <v>22</v>
      </c>
      <c r="K8" s="24"/>
      <c r="L8" s="25" t="str">
        <f ca="1" t="shared" si="2"/>
        <v>2年10个月</v>
      </c>
      <c r="M8" s="25" t="e">
        <f>IF(#REF!&lt;&gt;"","离职","在职")</f>
        <v>#REF!</v>
      </c>
      <c r="N8" s="24"/>
      <c r="O8" s="27"/>
      <c r="P8" s="24"/>
      <c r="Q8" s="24"/>
      <c r="R8" s="24"/>
      <c r="S8" s="24"/>
      <c r="IV8" s="1"/>
    </row>
    <row r="9" s="3" customFormat="1" ht="15" customHeight="1" spans="1:256">
      <c r="A9" s="24">
        <v>7</v>
      </c>
      <c r="B9" s="25"/>
      <c r="C9" s="25" t="s">
        <v>38</v>
      </c>
      <c r="D9" s="25" t="s">
        <v>39</v>
      </c>
      <c r="E9" s="25" t="str">
        <f t="shared" si="0"/>
        <v>女</v>
      </c>
      <c r="F9" s="24">
        <f ca="1" t="shared" si="1"/>
        <v>28</v>
      </c>
      <c r="G9" s="26">
        <v>15189378360</v>
      </c>
      <c r="H9" s="27">
        <v>45069</v>
      </c>
      <c r="I9" s="27"/>
      <c r="J9" s="25" t="s">
        <v>22</v>
      </c>
      <c r="K9" s="24"/>
      <c r="L9" s="25" t="str">
        <f ca="1" t="shared" si="2"/>
        <v>2年10个月</v>
      </c>
      <c r="M9" s="25" t="e">
        <f>IF(#REF!&lt;&gt;"","离职","在职")</f>
        <v>#REF!</v>
      </c>
      <c r="N9" s="24"/>
      <c r="O9" s="27"/>
      <c r="P9" s="24"/>
      <c r="Q9" s="24"/>
      <c r="R9" s="24"/>
      <c r="S9" s="24"/>
      <c r="IV9" s="1"/>
    </row>
    <row r="10" s="3" customFormat="1" ht="15" customHeight="1" spans="1:256">
      <c r="A10" s="24">
        <v>8</v>
      </c>
      <c r="B10" s="25"/>
      <c r="C10" s="25" t="s">
        <v>40</v>
      </c>
      <c r="D10" s="205" t="s">
        <v>41</v>
      </c>
      <c r="E10" s="25" t="str">
        <f t="shared" si="0"/>
        <v>女</v>
      </c>
      <c r="F10" s="24">
        <f ca="1" t="shared" si="1"/>
        <v>53</v>
      </c>
      <c r="G10" s="26">
        <v>15851145492</v>
      </c>
      <c r="H10" s="27">
        <v>45077</v>
      </c>
      <c r="I10" s="27"/>
      <c r="J10" s="25" t="s">
        <v>22</v>
      </c>
      <c r="K10" s="24"/>
      <c r="L10" s="25" t="str">
        <f ca="1" t="shared" si="2"/>
        <v>2年10个月</v>
      </c>
      <c r="M10" s="25" t="e">
        <f>IF(#REF!&lt;&gt;"","离职","在职")</f>
        <v>#REF!</v>
      </c>
      <c r="N10" s="24"/>
      <c r="O10" s="24"/>
      <c r="P10" s="24"/>
      <c r="Q10" s="24"/>
      <c r="R10" s="24"/>
      <c r="S10" s="24"/>
      <c r="IV10" s="1"/>
    </row>
    <row r="11" s="3" customFormat="1" ht="15" customHeight="1" spans="1:256">
      <c r="A11" s="24">
        <v>9</v>
      </c>
      <c r="B11" s="25"/>
      <c r="C11" s="25" t="s">
        <v>42</v>
      </c>
      <c r="D11" s="24"/>
      <c r="E11" s="24"/>
      <c r="F11" s="24"/>
      <c r="G11" s="26"/>
      <c r="H11" s="27">
        <v>45078</v>
      </c>
      <c r="I11" s="27"/>
      <c r="J11" s="25" t="s">
        <v>22</v>
      </c>
      <c r="K11" s="24"/>
      <c r="L11" s="25" t="str">
        <f ca="1" t="shared" si="2"/>
        <v>2年10个月</v>
      </c>
      <c r="M11" s="25" t="e">
        <f>IF(#REF!&lt;&gt;"","离职","在职")</f>
        <v>#REF!</v>
      </c>
      <c r="N11" s="24"/>
      <c r="O11" s="24"/>
      <c r="P11" s="24"/>
      <c r="Q11" s="24"/>
      <c r="R11" s="24"/>
      <c r="S11" s="24"/>
      <c r="IV11" s="1"/>
    </row>
    <row r="12" s="3" customFormat="1" ht="15" customHeight="1" spans="1:256">
      <c r="A12" s="24">
        <v>10</v>
      </c>
      <c r="B12" s="25"/>
      <c r="C12" s="25" t="s">
        <v>43</v>
      </c>
      <c r="D12" s="24"/>
      <c r="E12" s="24"/>
      <c r="F12" s="24"/>
      <c r="G12" s="26"/>
      <c r="H12" s="27">
        <v>45085</v>
      </c>
      <c r="I12" s="27"/>
      <c r="J12" s="25" t="s">
        <v>22</v>
      </c>
      <c r="K12" s="24"/>
      <c r="L12" s="25" t="str">
        <f ca="1" t="shared" si="2"/>
        <v>2年10个月</v>
      </c>
      <c r="M12" s="25" t="e">
        <f>IF(#REF!&lt;&gt;"","离职","在职")</f>
        <v>#REF!</v>
      </c>
      <c r="N12" s="24"/>
      <c r="O12" s="27"/>
      <c r="P12" s="24"/>
      <c r="Q12" s="24"/>
      <c r="R12" s="24"/>
      <c r="S12" s="24"/>
      <c r="IV12" s="1"/>
    </row>
    <row r="13" s="3" customFormat="1" ht="15" customHeight="1" spans="1:256">
      <c r="A13" s="24">
        <v>11</v>
      </c>
      <c r="B13" s="25"/>
      <c r="C13" s="25" t="s">
        <v>44</v>
      </c>
      <c r="D13" s="205" t="s">
        <v>45</v>
      </c>
      <c r="E13" s="25" t="str">
        <f>IF(MOD(MID(D13,17,1),2),"男","女")</f>
        <v>男</v>
      </c>
      <c r="F13" s="24">
        <f ca="1">YEAR(NOW())-MID(D13,7,4)</f>
        <v>38</v>
      </c>
      <c r="G13" s="206" t="s">
        <v>46</v>
      </c>
      <c r="H13" s="27">
        <v>45089</v>
      </c>
      <c r="I13" s="27"/>
      <c r="J13" s="25" t="s">
        <v>22</v>
      </c>
      <c r="K13" s="24"/>
      <c r="L13" s="25" t="str">
        <f ca="1" t="shared" si="2"/>
        <v>2年10个月</v>
      </c>
      <c r="M13" s="25" t="e">
        <f>IF(#REF!&lt;&gt;"","离职","在职")</f>
        <v>#REF!</v>
      </c>
      <c r="N13" s="24"/>
      <c r="O13" s="24"/>
      <c r="P13" s="24"/>
      <c r="Q13" s="24"/>
      <c r="R13" s="24"/>
      <c r="S13" s="24"/>
      <c r="IV13" s="1"/>
    </row>
    <row r="14" s="3" customFormat="1" ht="15" customHeight="1" spans="1:256">
      <c r="A14" s="24">
        <v>12</v>
      </c>
      <c r="B14" s="24"/>
      <c r="C14" s="25" t="s">
        <v>47</v>
      </c>
      <c r="D14" s="205" t="s">
        <v>48</v>
      </c>
      <c r="E14" s="25" t="str">
        <f>IF(MOD(MID(D14,17,1),2),"男","女")</f>
        <v>女</v>
      </c>
      <c r="F14" s="24">
        <f ca="1">YEAR(NOW())-MID(D14,7,4)</f>
        <v>43</v>
      </c>
      <c r="G14" s="26">
        <v>18261186746</v>
      </c>
      <c r="H14" s="27">
        <v>45096</v>
      </c>
      <c r="I14" s="27"/>
      <c r="J14" s="25" t="s">
        <v>22</v>
      </c>
      <c r="K14" s="24"/>
      <c r="L14" s="25" t="str">
        <f ca="1" t="shared" si="2"/>
        <v>2年9个月</v>
      </c>
      <c r="M14" s="25" t="e">
        <f>IF(#REF!&lt;&gt;"","离职","在职")</f>
        <v>#REF!</v>
      </c>
      <c r="N14" s="24"/>
      <c r="O14" s="24"/>
      <c r="P14" s="24"/>
      <c r="Q14" s="24"/>
      <c r="R14" s="24"/>
      <c r="S14" s="24"/>
      <c r="IV14" s="1"/>
    </row>
    <row r="15" s="3" customFormat="1" ht="15" customHeight="1" spans="1:256">
      <c r="A15" s="24">
        <v>13</v>
      </c>
      <c r="B15" s="24"/>
      <c r="C15" s="25" t="s">
        <v>49</v>
      </c>
      <c r="D15" s="24"/>
      <c r="E15" s="24"/>
      <c r="F15" s="24"/>
      <c r="G15" s="26"/>
      <c r="H15" s="27">
        <v>45096</v>
      </c>
      <c r="I15" s="27"/>
      <c r="J15" s="25" t="s">
        <v>22</v>
      </c>
      <c r="K15" s="24"/>
      <c r="L15" s="25" t="str">
        <f ca="1" t="shared" si="2"/>
        <v>2年9个月</v>
      </c>
      <c r="M15" s="25" t="e">
        <f>IF(#REF!&lt;&gt;"","离职","在职")</f>
        <v>#REF!</v>
      </c>
      <c r="N15" s="24"/>
      <c r="O15" s="24"/>
      <c r="P15" s="24"/>
      <c r="Q15" s="24"/>
      <c r="R15" s="24"/>
      <c r="S15" s="24"/>
      <c r="IV15" s="1"/>
    </row>
    <row r="16" s="3" customFormat="1" ht="15" customHeight="1" spans="1:256">
      <c r="A16" s="24">
        <v>14</v>
      </c>
      <c r="B16" s="24"/>
      <c r="C16" s="25" t="s">
        <v>50</v>
      </c>
      <c r="D16" s="24"/>
      <c r="E16" s="24"/>
      <c r="F16" s="24"/>
      <c r="G16" s="26"/>
      <c r="H16" s="27">
        <v>45098</v>
      </c>
      <c r="I16" s="27"/>
      <c r="J16" s="25" t="s">
        <v>22</v>
      </c>
      <c r="K16" s="24"/>
      <c r="L16" s="25" t="str">
        <f ca="1" t="shared" si="2"/>
        <v>2年9个月</v>
      </c>
      <c r="M16" s="25" t="e">
        <f>IF(#REF!&lt;&gt;"","离职","在职")</f>
        <v>#REF!</v>
      </c>
      <c r="N16" s="24"/>
      <c r="O16" s="24"/>
      <c r="P16" s="24"/>
      <c r="Q16" s="24"/>
      <c r="R16" s="24"/>
      <c r="S16" s="24"/>
      <c r="IV16" s="1"/>
    </row>
    <row r="17" s="3" customFormat="1" ht="15" customHeight="1" spans="1:256">
      <c r="A17" s="24">
        <v>15</v>
      </c>
      <c r="B17" s="24"/>
      <c r="C17" s="25" t="s">
        <v>51</v>
      </c>
      <c r="D17" s="24"/>
      <c r="E17" s="24"/>
      <c r="F17" s="24"/>
      <c r="G17" s="26"/>
      <c r="H17" s="27">
        <v>45103</v>
      </c>
      <c r="I17" s="27"/>
      <c r="J17" s="25" t="s">
        <v>22</v>
      </c>
      <c r="K17" s="24"/>
      <c r="L17" s="25" t="str">
        <f ca="1" t="shared" si="2"/>
        <v>2年9个月</v>
      </c>
      <c r="M17" s="25" t="e">
        <f>IF(#REF!&lt;&gt;"","离职","在职")</f>
        <v>#REF!</v>
      </c>
      <c r="N17" s="24"/>
      <c r="O17" s="24"/>
      <c r="P17" s="24"/>
      <c r="Q17" s="24"/>
      <c r="R17" s="24"/>
      <c r="S17" s="24"/>
      <c r="IV17" s="1"/>
    </row>
    <row r="18" s="3" customFormat="1" ht="15" customHeight="1" spans="1:256">
      <c r="A18" s="24">
        <v>16</v>
      </c>
      <c r="B18" s="24"/>
      <c r="C18" s="25" t="s">
        <v>52</v>
      </c>
      <c r="D18" s="24"/>
      <c r="E18" s="24"/>
      <c r="F18" s="24"/>
      <c r="G18" s="26"/>
      <c r="H18" s="27">
        <v>45103</v>
      </c>
      <c r="I18" s="27"/>
      <c r="J18" s="25" t="s">
        <v>22</v>
      </c>
      <c r="K18" s="24"/>
      <c r="L18" s="25" t="str">
        <f ca="1" t="shared" si="2"/>
        <v>2年9个月</v>
      </c>
      <c r="M18" s="25" t="e">
        <f>IF(#REF!&lt;&gt;"","离职","在职")</f>
        <v>#REF!</v>
      </c>
      <c r="N18" s="24"/>
      <c r="O18" s="24"/>
      <c r="P18" s="24"/>
      <c r="Q18" s="24"/>
      <c r="R18" s="24"/>
      <c r="S18" s="24"/>
      <c r="IV18" s="1"/>
    </row>
    <row r="19" s="3" customFormat="1" ht="15" customHeight="1" spans="1:256">
      <c r="A19" s="24">
        <v>17</v>
      </c>
      <c r="B19" s="24"/>
      <c r="C19" s="25" t="s">
        <v>53</v>
      </c>
      <c r="D19" s="24"/>
      <c r="E19" s="24"/>
      <c r="F19" s="24"/>
      <c r="G19" s="26"/>
      <c r="H19" s="27">
        <v>45104</v>
      </c>
      <c r="I19" s="27"/>
      <c r="J19" s="25" t="s">
        <v>22</v>
      </c>
      <c r="K19" s="24"/>
      <c r="L19" s="25" t="str">
        <f ca="1" t="shared" si="2"/>
        <v>2年9个月</v>
      </c>
      <c r="M19" s="25" t="e">
        <f>IF(#REF!&lt;&gt;"","离职","在职")</f>
        <v>#REF!</v>
      </c>
      <c r="N19" s="24"/>
      <c r="O19" s="24"/>
      <c r="P19" s="24"/>
      <c r="Q19" s="24"/>
      <c r="R19" s="24"/>
      <c r="S19" s="24"/>
      <c r="IV19" s="1"/>
    </row>
    <row r="20" s="3" customFormat="1" ht="15" customHeight="1" spans="1:256">
      <c r="A20" s="24">
        <v>18</v>
      </c>
      <c r="B20" s="24"/>
      <c r="C20" s="25" t="s">
        <v>54</v>
      </c>
      <c r="D20" s="25" t="s">
        <v>55</v>
      </c>
      <c r="E20" s="25" t="str">
        <f t="shared" ref="E20:E27" si="3">IF(MOD(MID(D20,17,1),2),"男","女")</f>
        <v>女</v>
      </c>
      <c r="F20" s="24">
        <f ca="1" t="shared" ref="F20:F27" si="4">YEAR(NOW())-MID(D20,7,4)</f>
        <v>39</v>
      </c>
      <c r="G20" s="26">
        <v>19106216505</v>
      </c>
      <c r="H20" s="27">
        <v>45106</v>
      </c>
      <c r="I20" s="27"/>
      <c r="J20" s="25" t="s">
        <v>22</v>
      </c>
      <c r="K20" s="24"/>
      <c r="L20" s="25" t="str">
        <f ca="1" t="shared" si="2"/>
        <v>2年9个月</v>
      </c>
      <c r="M20" s="25" t="e">
        <f>IF(#REF!&lt;&gt;"","离职","在职")</f>
        <v>#REF!</v>
      </c>
      <c r="N20" s="24"/>
      <c r="O20" s="24"/>
      <c r="P20" s="24"/>
      <c r="Q20" s="24"/>
      <c r="R20" s="24"/>
      <c r="S20" s="24"/>
      <c r="IV20" s="1"/>
    </row>
    <row r="21" s="3" customFormat="1" ht="15" customHeight="1" spans="1:256">
      <c r="A21" s="24">
        <v>19</v>
      </c>
      <c r="B21" s="24"/>
      <c r="C21" s="25" t="s">
        <v>56</v>
      </c>
      <c r="D21" s="25" t="s">
        <v>57</v>
      </c>
      <c r="E21" s="25" t="str">
        <f t="shared" si="3"/>
        <v>女</v>
      </c>
      <c r="F21" s="24">
        <f ca="1" t="shared" si="4"/>
        <v>38</v>
      </c>
      <c r="G21" s="28" t="s">
        <v>58</v>
      </c>
      <c r="H21" s="27">
        <v>45110</v>
      </c>
      <c r="I21" s="27"/>
      <c r="J21" s="25" t="s">
        <v>22</v>
      </c>
      <c r="K21" s="24"/>
      <c r="L21" s="25" t="str">
        <f ca="1" t="shared" si="2"/>
        <v>2年9个月</v>
      </c>
      <c r="M21" s="25" t="e">
        <f>IF(#REF!&lt;&gt;"","离职","在职")</f>
        <v>#REF!</v>
      </c>
      <c r="N21" s="24"/>
      <c r="O21" s="24"/>
      <c r="P21" s="24"/>
      <c r="Q21" s="24"/>
      <c r="R21" s="24"/>
      <c r="S21" s="24"/>
      <c r="IV21" s="1"/>
    </row>
    <row r="22" s="3" customFormat="1" ht="15" customHeight="1" spans="1:256">
      <c r="A22" s="24">
        <v>20</v>
      </c>
      <c r="B22" s="24"/>
      <c r="C22" s="25" t="s">
        <v>59</v>
      </c>
      <c r="D22" s="25" t="s">
        <v>60</v>
      </c>
      <c r="E22" s="25" t="str">
        <f t="shared" si="3"/>
        <v>女</v>
      </c>
      <c r="F22" s="24">
        <f ca="1" t="shared" si="4"/>
        <v>45</v>
      </c>
      <c r="G22" s="26">
        <v>13962024519</v>
      </c>
      <c r="H22" s="27">
        <v>45110</v>
      </c>
      <c r="I22" s="27"/>
      <c r="J22" s="25" t="s">
        <v>22</v>
      </c>
      <c r="K22" s="24"/>
      <c r="L22" s="25" t="str">
        <f ca="1" t="shared" si="2"/>
        <v>2年9个月</v>
      </c>
      <c r="M22" s="25" t="e">
        <f>IF(#REF!&lt;&gt;"","离职","在职")</f>
        <v>#REF!</v>
      </c>
      <c r="N22" s="24"/>
      <c r="O22" s="24"/>
      <c r="P22" s="24"/>
      <c r="Q22" s="24"/>
      <c r="R22" s="24"/>
      <c r="S22" s="24"/>
      <c r="IV22" s="1"/>
    </row>
    <row r="23" s="3" customFormat="1" ht="15" customHeight="1" spans="1:256">
      <c r="A23" s="24">
        <v>21</v>
      </c>
      <c r="B23" s="24"/>
      <c r="C23" s="25" t="s">
        <v>61</v>
      </c>
      <c r="D23" s="205" t="s">
        <v>62</v>
      </c>
      <c r="E23" s="25" t="str">
        <f t="shared" si="3"/>
        <v>女</v>
      </c>
      <c r="F23" s="24">
        <f ca="1" t="shared" si="4"/>
        <v>52</v>
      </c>
      <c r="G23" s="26">
        <v>13962029293</v>
      </c>
      <c r="H23" s="27">
        <v>45112</v>
      </c>
      <c r="I23" s="27"/>
      <c r="J23" s="25" t="s">
        <v>22</v>
      </c>
      <c r="K23" s="24"/>
      <c r="L23" s="25" t="str">
        <f ca="1" t="shared" si="2"/>
        <v>2年9个月</v>
      </c>
      <c r="M23" s="25" t="e">
        <f>IF(#REF!&lt;&gt;"","离职","在职")</f>
        <v>#REF!</v>
      </c>
      <c r="N23" s="24"/>
      <c r="O23" s="24"/>
      <c r="P23" s="24"/>
      <c r="Q23" s="24"/>
      <c r="R23" s="24"/>
      <c r="S23" s="24"/>
      <c r="IV23" s="1"/>
    </row>
    <row r="24" s="3" customFormat="1" ht="15" customHeight="1" spans="1:256">
      <c r="A24" s="24">
        <v>22</v>
      </c>
      <c r="B24" s="24"/>
      <c r="C24" s="25" t="s">
        <v>63</v>
      </c>
      <c r="D24" s="205" t="s">
        <v>64</v>
      </c>
      <c r="E24" s="25" t="str">
        <f t="shared" si="3"/>
        <v>男</v>
      </c>
      <c r="F24" s="24">
        <f ca="1" t="shared" si="4"/>
        <v>42</v>
      </c>
      <c r="G24" s="26">
        <v>15151069061</v>
      </c>
      <c r="H24" s="27">
        <v>45118</v>
      </c>
      <c r="I24" s="27"/>
      <c r="J24" s="25" t="s">
        <v>65</v>
      </c>
      <c r="K24" s="24"/>
      <c r="L24" s="25" t="str">
        <f ca="1" t="shared" si="2"/>
        <v>2年9个月</v>
      </c>
      <c r="M24" s="25" t="e">
        <f>IF(#REF!&lt;&gt;"","离职","在职")</f>
        <v>#REF!</v>
      </c>
      <c r="N24" s="24"/>
      <c r="O24" s="24"/>
      <c r="P24" s="24"/>
      <c r="Q24" s="24"/>
      <c r="R24" s="24"/>
      <c r="S24" s="24"/>
      <c r="IV24" s="1"/>
    </row>
    <row r="25" s="3" customFormat="1" ht="15" customHeight="1" spans="1:256">
      <c r="A25" s="24">
        <v>23</v>
      </c>
      <c r="B25" s="24"/>
      <c r="C25" s="25" t="s">
        <v>66</v>
      </c>
      <c r="D25" s="205" t="s">
        <v>67</v>
      </c>
      <c r="E25" s="25" t="str">
        <f t="shared" si="3"/>
        <v>男</v>
      </c>
      <c r="F25" s="24">
        <f ca="1" t="shared" si="4"/>
        <v>59</v>
      </c>
      <c r="G25" s="26">
        <v>13912576870</v>
      </c>
      <c r="H25" s="27">
        <v>45119</v>
      </c>
      <c r="I25" s="27"/>
      <c r="J25" s="25" t="s">
        <v>22</v>
      </c>
      <c r="K25" s="24"/>
      <c r="L25" s="25" t="str">
        <f ca="1" t="shared" si="2"/>
        <v>2年9个月</v>
      </c>
      <c r="M25" s="25" t="e">
        <f>IF(#REF!&lt;&gt;"","离职","在职")</f>
        <v>#REF!</v>
      </c>
      <c r="N25" s="24"/>
      <c r="O25" s="24"/>
      <c r="P25" s="24"/>
      <c r="Q25" s="24"/>
      <c r="R25" s="24"/>
      <c r="S25" s="24"/>
      <c r="IV25" s="1"/>
    </row>
    <row r="26" s="3" customFormat="1" ht="15" customHeight="1" spans="1:256">
      <c r="A26" s="24">
        <v>24</v>
      </c>
      <c r="B26" s="24"/>
      <c r="C26" s="25" t="s">
        <v>68</v>
      </c>
      <c r="D26" s="205" t="s">
        <v>69</v>
      </c>
      <c r="E26" s="25" t="str">
        <f t="shared" si="3"/>
        <v>女</v>
      </c>
      <c r="F26" s="24">
        <f ca="1" t="shared" si="4"/>
        <v>53</v>
      </c>
      <c r="G26" s="26">
        <v>18261297881</v>
      </c>
      <c r="H26" s="27">
        <v>45122</v>
      </c>
      <c r="I26" s="27"/>
      <c r="J26" s="25" t="s">
        <v>22</v>
      </c>
      <c r="K26" s="24"/>
      <c r="L26" s="25" t="str">
        <f ca="1" t="shared" si="2"/>
        <v>2年8个月</v>
      </c>
      <c r="M26" s="25" t="e">
        <f>IF(#REF!&lt;&gt;"","离职","在职")</f>
        <v>#REF!</v>
      </c>
      <c r="N26" s="24"/>
      <c r="O26" s="24"/>
      <c r="P26" s="24"/>
      <c r="Q26" s="24"/>
      <c r="R26" s="24"/>
      <c r="S26" s="24"/>
      <c r="IV26" s="1"/>
    </row>
    <row r="27" s="3" customFormat="1" ht="15" customHeight="1" spans="1:256">
      <c r="A27" s="24">
        <v>25</v>
      </c>
      <c r="B27" s="24"/>
      <c r="C27" s="25" t="s">
        <v>70</v>
      </c>
      <c r="D27" s="25" t="s">
        <v>71</v>
      </c>
      <c r="E27" s="25" t="str">
        <f t="shared" si="3"/>
        <v>男</v>
      </c>
      <c r="F27" s="24">
        <f ca="1" t="shared" si="4"/>
        <v>45</v>
      </c>
      <c r="G27" s="28" t="s">
        <v>72</v>
      </c>
      <c r="H27" s="27">
        <v>45124</v>
      </c>
      <c r="I27" s="27"/>
      <c r="J27" s="25" t="s">
        <v>22</v>
      </c>
      <c r="K27" s="24"/>
      <c r="L27" s="25" t="str">
        <f ca="1" t="shared" si="2"/>
        <v>2年8个月</v>
      </c>
      <c r="M27" s="25" t="e">
        <f>IF(#REF!&lt;&gt;"","离职","在职")</f>
        <v>#REF!</v>
      </c>
      <c r="N27" s="24"/>
      <c r="O27" s="24"/>
      <c r="P27" s="24"/>
      <c r="Q27" s="24"/>
      <c r="R27" s="24"/>
      <c r="S27" s="24"/>
      <c r="IV27" s="1"/>
    </row>
    <row r="28" s="3" customFormat="1" ht="15" customHeight="1" spans="1:256">
      <c r="A28" s="24">
        <v>26</v>
      </c>
      <c r="B28" s="24"/>
      <c r="C28" s="25" t="s">
        <v>73</v>
      </c>
      <c r="D28" s="24"/>
      <c r="E28" s="24"/>
      <c r="F28" s="24"/>
      <c r="G28" s="26"/>
      <c r="H28" s="27">
        <v>45124</v>
      </c>
      <c r="I28" s="27"/>
      <c r="J28" s="25" t="s">
        <v>22</v>
      </c>
      <c r="K28" s="24"/>
      <c r="L28" s="25" t="str">
        <f ca="1" t="shared" si="2"/>
        <v>2年8个月</v>
      </c>
      <c r="M28" s="25" t="e">
        <f>IF(#REF!&lt;&gt;"","离职","在职")</f>
        <v>#REF!</v>
      </c>
      <c r="N28" s="25" t="s">
        <v>74</v>
      </c>
      <c r="O28" s="24"/>
      <c r="P28" s="24"/>
      <c r="Q28" s="24"/>
      <c r="R28" s="24"/>
      <c r="S28" s="24"/>
      <c r="IV28" s="1"/>
    </row>
    <row r="29" s="3" customFormat="1" ht="15" customHeight="1" spans="1:256">
      <c r="A29" s="24">
        <v>27</v>
      </c>
      <c r="B29" s="24"/>
      <c r="C29" s="25" t="s">
        <v>75</v>
      </c>
      <c r="D29" s="205" t="s">
        <v>76</v>
      </c>
      <c r="E29" s="25" t="str">
        <f t="shared" ref="E29:E52" si="5">IF(MOD(MID(D29,17,1),2),"男","女")</f>
        <v>女</v>
      </c>
      <c r="F29" s="24">
        <f ca="1" t="shared" ref="F29:F52" si="6">YEAR(NOW())-MID(D29,7,4)</f>
        <v>56</v>
      </c>
      <c r="G29" s="26">
        <v>13115263663</v>
      </c>
      <c r="H29" s="27">
        <v>45125</v>
      </c>
      <c r="I29" s="27"/>
      <c r="J29" s="25" t="s">
        <v>22</v>
      </c>
      <c r="K29" s="24"/>
      <c r="L29" s="25" t="str">
        <f ca="1" t="shared" si="2"/>
        <v>2年8个月</v>
      </c>
      <c r="M29" s="25" t="e">
        <f>IF(#REF!&lt;&gt;"","离职","在职")</f>
        <v>#REF!</v>
      </c>
      <c r="N29" s="24"/>
      <c r="O29" s="24"/>
      <c r="P29" s="24"/>
      <c r="Q29" s="24"/>
      <c r="R29" s="24"/>
      <c r="S29" s="24"/>
      <c r="IV29" s="1"/>
    </row>
    <row r="30" s="3" customFormat="1" ht="15" customHeight="1" spans="1:256">
      <c r="A30" s="24">
        <v>28</v>
      </c>
      <c r="B30" s="24"/>
      <c r="C30" s="25" t="s">
        <v>77</v>
      </c>
      <c r="D30" s="205" t="s">
        <v>78</v>
      </c>
      <c r="E30" s="25" t="str">
        <f t="shared" si="5"/>
        <v>女</v>
      </c>
      <c r="F30" s="24">
        <f ca="1" t="shared" si="6"/>
        <v>49</v>
      </c>
      <c r="G30" s="26">
        <v>13770201840</v>
      </c>
      <c r="H30" s="27">
        <v>45125</v>
      </c>
      <c r="I30" s="27"/>
      <c r="J30" s="25" t="s">
        <v>22</v>
      </c>
      <c r="K30" s="24"/>
      <c r="L30" s="25" t="str">
        <f ca="1" t="shared" si="2"/>
        <v>2年8个月</v>
      </c>
      <c r="M30" s="25" t="e">
        <f>IF(#REF!&lt;&gt;"","离职","在职")</f>
        <v>#REF!</v>
      </c>
      <c r="N30" s="25" t="s">
        <v>79</v>
      </c>
      <c r="O30" s="24"/>
      <c r="P30" s="24"/>
      <c r="Q30" s="24"/>
      <c r="R30" s="24"/>
      <c r="S30" s="24"/>
      <c r="IV30" s="1"/>
    </row>
    <row r="31" s="3" customFormat="1" ht="15" customHeight="1" spans="1:256">
      <c r="A31" s="24">
        <v>29</v>
      </c>
      <c r="B31" s="24"/>
      <c r="C31" s="25" t="s">
        <v>80</v>
      </c>
      <c r="D31" s="205" t="s">
        <v>81</v>
      </c>
      <c r="E31" s="25" t="str">
        <f t="shared" si="5"/>
        <v>女</v>
      </c>
      <c r="F31" s="24">
        <f ca="1" t="shared" si="6"/>
        <v>38</v>
      </c>
      <c r="G31" s="26">
        <v>15151069087</v>
      </c>
      <c r="H31" s="27">
        <v>45125</v>
      </c>
      <c r="I31" s="27"/>
      <c r="J31" s="25" t="s">
        <v>22</v>
      </c>
      <c r="K31" s="24"/>
      <c r="L31" s="25" t="str">
        <f ca="1" t="shared" si="2"/>
        <v>2年8个月</v>
      </c>
      <c r="M31" s="25" t="e">
        <f>IF(#REF!&lt;&gt;"","离职","在职")</f>
        <v>#REF!</v>
      </c>
      <c r="N31" s="24"/>
      <c r="O31" s="24"/>
      <c r="P31" s="24"/>
      <c r="Q31" s="24"/>
      <c r="R31" s="24"/>
      <c r="S31" s="24"/>
      <c r="IV31" s="1"/>
    </row>
    <row r="32" s="3" customFormat="1" ht="15" customHeight="1" spans="1:256">
      <c r="A32" s="24">
        <v>30</v>
      </c>
      <c r="B32" s="24"/>
      <c r="C32" s="25" t="s">
        <v>82</v>
      </c>
      <c r="D32" s="205" t="s">
        <v>83</v>
      </c>
      <c r="E32" s="25" t="str">
        <f t="shared" si="5"/>
        <v>女</v>
      </c>
      <c r="F32" s="24">
        <f ca="1" t="shared" si="6"/>
        <v>21</v>
      </c>
      <c r="G32" s="26">
        <v>19516526036</v>
      </c>
      <c r="H32" s="27">
        <v>45125</v>
      </c>
      <c r="I32" s="27"/>
      <c r="J32" s="25" t="s">
        <v>22</v>
      </c>
      <c r="K32" s="24"/>
      <c r="L32" s="25" t="str">
        <f ca="1" t="shared" si="2"/>
        <v>2年8个月</v>
      </c>
      <c r="M32" s="25" t="e">
        <f>IF(#REF!&lt;&gt;"","离职","在职")</f>
        <v>#REF!</v>
      </c>
      <c r="N32" s="24"/>
      <c r="O32" s="24"/>
      <c r="P32" s="24"/>
      <c r="Q32" s="24"/>
      <c r="R32" s="24"/>
      <c r="S32" s="24"/>
      <c r="IV32" s="1"/>
    </row>
    <row r="33" s="3" customFormat="1" ht="15" customHeight="1" spans="1:256">
      <c r="A33" s="24">
        <v>31</v>
      </c>
      <c r="B33" s="24"/>
      <c r="C33" s="25" t="s">
        <v>84</v>
      </c>
      <c r="D33" s="205" t="s">
        <v>85</v>
      </c>
      <c r="E33" s="25" t="str">
        <f t="shared" si="5"/>
        <v>男</v>
      </c>
      <c r="F33" s="24">
        <f ca="1" t="shared" si="6"/>
        <v>21</v>
      </c>
      <c r="G33" s="26">
        <v>19962367886</v>
      </c>
      <c r="H33" s="27">
        <v>45125</v>
      </c>
      <c r="I33" s="27"/>
      <c r="J33" s="25" t="s">
        <v>22</v>
      </c>
      <c r="K33" s="24"/>
      <c r="L33" s="25" t="str">
        <f ca="1" t="shared" si="2"/>
        <v>2年8个月</v>
      </c>
      <c r="M33" s="25" t="e">
        <f>IF(#REF!&lt;&gt;"","离职","在职")</f>
        <v>#REF!</v>
      </c>
      <c r="N33" s="24"/>
      <c r="O33" s="24"/>
      <c r="P33" s="24"/>
      <c r="Q33" s="24"/>
      <c r="R33" s="24"/>
      <c r="S33" s="24"/>
      <c r="IV33" s="1"/>
    </row>
    <row r="34" s="3" customFormat="1" ht="15" customHeight="1" spans="1:256">
      <c r="A34" s="24">
        <v>32</v>
      </c>
      <c r="B34" s="24"/>
      <c r="C34" s="25" t="s">
        <v>86</v>
      </c>
      <c r="D34" s="205" t="s">
        <v>87</v>
      </c>
      <c r="E34" s="25" t="str">
        <f t="shared" si="5"/>
        <v>女</v>
      </c>
      <c r="F34" s="24">
        <f ca="1" t="shared" si="6"/>
        <v>58</v>
      </c>
      <c r="G34" s="26">
        <v>18862052531</v>
      </c>
      <c r="H34" s="27">
        <v>45125</v>
      </c>
      <c r="I34" s="27"/>
      <c r="J34" s="25" t="s">
        <v>22</v>
      </c>
      <c r="K34" s="24"/>
      <c r="L34" s="25" t="str">
        <f ca="1" t="shared" si="2"/>
        <v>2年8个月</v>
      </c>
      <c r="M34" s="25" t="e">
        <f>IF(#REF!&lt;&gt;"","离职","在职")</f>
        <v>#REF!</v>
      </c>
      <c r="N34" s="24"/>
      <c r="O34" s="24"/>
      <c r="P34" s="24"/>
      <c r="Q34" s="24"/>
      <c r="R34" s="24"/>
      <c r="S34" s="24"/>
      <c r="IV34" s="1"/>
    </row>
    <row r="35" s="3" customFormat="1" ht="15" customHeight="1" spans="1:256">
      <c r="A35" s="24">
        <v>33</v>
      </c>
      <c r="B35" s="24"/>
      <c r="C35" s="25" t="s">
        <v>88</v>
      </c>
      <c r="D35" s="205" t="s">
        <v>89</v>
      </c>
      <c r="E35" s="25" t="str">
        <f t="shared" si="5"/>
        <v>女</v>
      </c>
      <c r="F35" s="24">
        <f ca="1" t="shared" si="6"/>
        <v>33</v>
      </c>
      <c r="G35" s="26">
        <v>13814378130</v>
      </c>
      <c r="H35" s="27">
        <v>45129</v>
      </c>
      <c r="I35" s="27"/>
      <c r="J35" s="25" t="s">
        <v>22</v>
      </c>
      <c r="K35" s="24"/>
      <c r="L35" s="25" t="str">
        <f ca="1" t="shared" si="2"/>
        <v>2年8个月</v>
      </c>
      <c r="M35" s="25" t="e">
        <f>IF(#REF!&lt;&gt;"","离职","在职")</f>
        <v>#REF!</v>
      </c>
      <c r="N35" s="24"/>
      <c r="O35" s="24"/>
      <c r="P35" s="24"/>
      <c r="Q35" s="24"/>
      <c r="R35" s="24"/>
      <c r="S35" s="24"/>
      <c r="IV35" s="1"/>
    </row>
    <row r="36" s="3" customFormat="1" ht="15" customHeight="1" spans="1:256">
      <c r="A36" s="24">
        <v>34</v>
      </c>
      <c r="B36" s="24"/>
      <c r="C36" s="25" t="s">
        <v>90</v>
      </c>
      <c r="D36" s="205" t="s">
        <v>91</v>
      </c>
      <c r="E36" s="25" t="str">
        <f t="shared" si="5"/>
        <v>男</v>
      </c>
      <c r="F36" s="24">
        <f ca="1" t="shared" si="6"/>
        <v>45</v>
      </c>
      <c r="G36" s="206" t="s">
        <v>92</v>
      </c>
      <c r="H36" s="27">
        <v>45130</v>
      </c>
      <c r="I36" s="27"/>
      <c r="J36" s="25" t="s">
        <v>22</v>
      </c>
      <c r="K36" s="24"/>
      <c r="L36" s="25" t="str">
        <f ca="1" t="shared" si="2"/>
        <v>2年8个月</v>
      </c>
      <c r="M36" s="25" t="e">
        <f>IF(#REF!&lt;&gt;"","离职","在职")</f>
        <v>#REF!</v>
      </c>
      <c r="N36" s="24"/>
      <c r="O36" s="24"/>
      <c r="P36" s="24"/>
      <c r="Q36" s="24"/>
      <c r="R36" s="24"/>
      <c r="S36" s="24"/>
      <c r="IV36" s="1"/>
    </row>
    <row r="37" s="3" customFormat="1" ht="15" customHeight="1" spans="1:256">
      <c r="A37" s="24">
        <v>35</v>
      </c>
      <c r="B37" s="24"/>
      <c r="C37" s="25" t="s">
        <v>93</v>
      </c>
      <c r="D37" s="25" t="s">
        <v>94</v>
      </c>
      <c r="E37" s="25" t="str">
        <f t="shared" si="5"/>
        <v>女</v>
      </c>
      <c r="F37" s="24">
        <f ca="1" t="shared" si="6"/>
        <v>34</v>
      </c>
      <c r="G37" s="28"/>
      <c r="H37" s="27">
        <v>45138</v>
      </c>
      <c r="I37" s="27"/>
      <c r="J37" s="25" t="s">
        <v>22</v>
      </c>
      <c r="K37" s="24"/>
      <c r="L37" s="25" t="str">
        <f ca="1" t="shared" si="2"/>
        <v>2年8个月</v>
      </c>
      <c r="M37" s="25" t="e">
        <f>IF(#REF!&lt;&gt;"","离职","在职")</f>
        <v>#REF!</v>
      </c>
      <c r="N37" s="24"/>
      <c r="O37" s="24"/>
      <c r="P37" s="24"/>
      <c r="Q37" s="24"/>
      <c r="R37" s="24"/>
      <c r="S37" s="24"/>
      <c r="IV37" s="1"/>
    </row>
    <row r="38" s="3" customFormat="1" ht="15" customHeight="1" spans="1:256">
      <c r="A38" s="24">
        <v>36</v>
      </c>
      <c r="B38" s="24"/>
      <c r="C38" s="25" t="s">
        <v>95</v>
      </c>
      <c r="D38" s="205" t="s">
        <v>96</v>
      </c>
      <c r="E38" s="25" t="str">
        <f t="shared" si="5"/>
        <v>女</v>
      </c>
      <c r="F38" s="24">
        <f ca="1" t="shared" si="6"/>
        <v>37</v>
      </c>
      <c r="G38" s="28"/>
      <c r="H38" s="27">
        <v>45138</v>
      </c>
      <c r="I38" s="27"/>
      <c r="J38" s="25" t="s">
        <v>22</v>
      </c>
      <c r="K38" s="24"/>
      <c r="L38" s="25" t="str">
        <f ca="1" t="shared" si="2"/>
        <v>2年8个月</v>
      </c>
      <c r="M38" s="25" t="e">
        <f>IF(#REF!&lt;&gt;"","离职","在职")</f>
        <v>#REF!</v>
      </c>
      <c r="N38" s="24"/>
      <c r="O38" s="24"/>
      <c r="P38" s="24"/>
      <c r="Q38" s="24"/>
      <c r="R38" s="24"/>
      <c r="S38" s="24"/>
      <c r="IV38" s="1"/>
    </row>
    <row r="39" s="3" customFormat="1" ht="15" customHeight="1" spans="1:256">
      <c r="A39" s="24">
        <v>37</v>
      </c>
      <c r="B39" s="25" t="s">
        <v>97</v>
      </c>
      <c r="C39" s="25" t="s">
        <v>98</v>
      </c>
      <c r="D39" s="205" t="s">
        <v>99</v>
      </c>
      <c r="E39" s="25" t="str">
        <f t="shared" si="5"/>
        <v>男</v>
      </c>
      <c r="F39" s="24">
        <f ca="1" t="shared" si="6"/>
        <v>51</v>
      </c>
      <c r="G39" s="26">
        <v>18921853622</v>
      </c>
      <c r="H39" s="27">
        <v>45139</v>
      </c>
      <c r="I39" s="27"/>
      <c r="J39" s="25" t="s">
        <v>22</v>
      </c>
      <c r="K39" s="25" t="s">
        <v>100</v>
      </c>
      <c r="L39" s="25" t="str">
        <f ca="1" t="shared" si="2"/>
        <v>2年8个月</v>
      </c>
      <c r="M39" s="25" t="e">
        <f>IF(#REF!&lt;&gt;"","离职","在职")</f>
        <v>#REF!</v>
      </c>
      <c r="N39" s="24"/>
      <c r="O39" s="24"/>
      <c r="P39" s="29" t="s">
        <v>101</v>
      </c>
      <c r="Q39" s="29" t="s">
        <v>102</v>
      </c>
      <c r="R39" s="24"/>
      <c r="S39" s="24"/>
      <c r="IV39" s="1"/>
    </row>
    <row r="40" s="1" customFormat="1" ht="15" customHeight="1" spans="1:256">
      <c r="A40" s="24">
        <v>38</v>
      </c>
      <c r="B40" s="25" t="s">
        <v>103</v>
      </c>
      <c r="C40" s="25" t="s">
        <v>104</v>
      </c>
      <c r="D40" s="205" t="s">
        <v>105</v>
      </c>
      <c r="E40" s="25" t="str">
        <f t="shared" si="5"/>
        <v>女</v>
      </c>
      <c r="F40" s="24">
        <f ca="1" t="shared" si="6"/>
        <v>45</v>
      </c>
      <c r="G40" s="26">
        <v>15751120720</v>
      </c>
      <c r="H40" s="27">
        <v>45140</v>
      </c>
      <c r="I40" s="27"/>
      <c r="J40" s="25" t="s">
        <v>22</v>
      </c>
      <c r="K40" s="25" t="s">
        <v>100</v>
      </c>
      <c r="L40" s="25" t="str">
        <f ca="1" t="shared" si="2"/>
        <v>2年8个月</v>
      </c>
      <c r="M40" s="25" t="e">
        <f>IF(#REF!&lt;&gt;"","离职","在职")</f>
        <v>#REF!</v>
      </c>
      <c r="N40" s="24"/>
      <c r="O40" s="24"/>
      <c r="P40" s="24"/>
      <c r="Q40" s="24"/>
      <c r="R40" s="24"/>
      <c r="S40" s="24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</row>
    <row r="41" s="1" customFormat="1" ht="15" customHeight="1" spans="1:256">
      <c r="A41" s="24">
        <v>39</v>
      </c>
      <c r="B41" s="25" t="s">
        <v>106</v>
      </c>
      <c r="C41" s="25" t="s">
        <v>107</v>
      </c>
      <c r="D41" s="205" t="s">
        <v>108</v>
      </c>
      <c r="E41" s="25" t="str">
        <f t="shared" si="5"/>
        <v>男</v>
      </c>
      <c r="F41" s="24">
        <f ca="1" t="shared" si="6"/>
        <v>44</v>
      </c>
      <c r="G41" s="26">
        <v>18115498769</v>
      </c>
      <c r="H41" s="27">
        <v>45142</v>
      </c>
      <c r="I41" s="27"/>
      <c r="J41" s="25" t="s">
        <v>109</v>
      </c>
      <c r="K41" s="25" t="s">
        <v>110</v>
      </c>
      <c r="L41" s="25" t="str">
        <f ca="1" t="shared" si="2"/>
        <v>2年8个月</v>
      </c>
      <c r="M41" s="25" t="e">
        <f>IF(#REF!&lt;&gt;"","离职","在职")</f>
        <v>#REF!</v>
      </c>
      <c r="N41" s="24"/>
      <c r="O41" s="24"/>
      <c r="P41" s="29" t="s">
        <v>101</v>
      </c>
      <c r="Q41" s="25" t="s">
        <v>111</v>
      </c>
      <c r="R41" s="24"/>
      <c r="S41" s="24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</row>
    <row r="42" s="1" customFormat="1" ht="15" customHeight="1" spans="1:256">
      <c r="A42" s="24">
        <v>40</v>
      </c>
      <c r="B42" s="25" t="s">
        <v>112</v>
      </c>
      <c r="C42" s="25" t="s">
        <v>113</v>
      </c>
      <c r="D42" s="205" t="s">
        <v>114</v>
      </c>
      <c r="E42" s="25" t="str">
        <f t="shared" si="5"/>
        <v>男</v>
      </c>
      <c r="F42" s="24">
        <f ca="1" t="shared" si="6"/>
        <v>29</v>
      </c>
      <c r="G42" s="26">
        <v>18251435077</v>
      </c>
      <c r="H42" s="27">
        <v>45142</v>
      </c>
      <c r="I42" s="27"/>
      <c r="J42" s="25" t="s">
        <v>109</v>
      </c>
      <c r="K42" s="25" t="s">
        <v>115</v>
      </c>
      <c r="L42" s="25" t="str">
        <f ca="1" t="shared" si="2"/>
        <v>2年8个月</v>
      </c>
      <c r="M42" s="25" t="e">
        <f>IF(#REF!&lt;&gt;"","离职","在职")</f>
        <v>#REF!</v>
      </c>
      <c r="N42" s="24"/>
      <c r="O42" s="24"/>
      <c r="P42" s="29" t="s">
        <v>101</v>
      </c>
      <c r="Q42" s="25" t="s">
        <v>111</v>
      </c>
      <c r="R42" s="24"/>
      <c r="S42" s="24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</row>
    <row r="43" s="1" customFormat="1" ht="15" customHeight="1" spans="1:256">
      <c r="A43" s="24">
        <v>41</v>
      </c>
      <c r="B43" s="25" t="s">
        <v>116</v>
      </c>
      <c r="C43" s="25" t="s">
        <v>117</v>
      </c>
      <c r="D43" s="205" t="s">
        <v>118</v>
      </c>
      <c r="E43" s="25" t="str">
        <f t="shared" si="5"/>
        <v>女</v>
      </c>
      <c r="F43" s="24">
        <f ca="1" t="shared" si="6"/>
        <v>38</v>
      </c>
      <c r="G43" s="26">
        <v>15895151106</v>
      </c>
      <c r="H43" s="27">
        <v>45143</v>
      </c>
      <c r="I43" s="27"/>
      <c r="J43" s="25" t="s">
        <v>22</v>
      </c>
      <c r="K43" s="25" t="s">
        <v>100</v>
      </c>
      <c r="L43" s="25" t="str">
        <f ca="1" t="shared" si="2"/>
        <v>2年8个月</v>
      </c>
      <c r="M43" s="25" t="e">
        <f>IF(#REF!&lt;&gt;"","离职","在职")</f>
        <v>#REF!</v>
      </c>
      <c r="N43" s="24"/>
      <c r="O43" s="24"/>
      <c r="P43" s="29" t="s">
        <v>101</v>
      </c>
      <c r="Q43" s="25" t="s">
        <v>111</v>
      </c>
      <c r="R43" s="24"/>
      <c r="S43" s="24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</row>
    <row r="44" s="3" customFormat="1" ht="15" customHeight="1" spans="1:256">
      <c r="A44" s="24">
        <v>42</v>
      </c>
      <c r="B44" s="25" t="s">
        <v>119</v>
      </c>
      <c r="C44" s="25" t="s">
        <v>120</v>
      </c>
      <c r="D44" s="205" t="s">
        <v>121</v>
      </c>
      <c r="E44" s="25" t="str">
        <f t="shared" si="5"/>
        <v>男</v>
      </c>
      <c r="F44" s="24">
        <f ca="1" t="shared" si="6"/>
        <v>36</v>
      </c>
      <c r="G44" s="26">
        <v>18112850053</v>
      </c>
      <c r="H44" s="27">
        <v>45007</v>
      </c>
      <c r="I44" s="27"/>
      <c r="J44" s="25" t="s">
        <v>122</v>
      </c>
      <c r="K44" s="25" t="s">
        <v>123</v>
      </c>
      <c r="L44" s="25" t="str">
        <f ca="1" t="shared" si="2"/>
        <v>3年0个月</v>
      </c>
      <c r="M44" s="25" t="e">
        <f>IF(#REF!&lt;&gt;"","离职","在职")</f>
        <v>#REF!</v>
      </c>
      <c r="N44" s="24"/>
      <c r="O44" s="24"/>
      <c r="P44" s="29" t="s">
        <v>101</v>
      </c>
      <c r="Q44" s="29" t="s">
        <v>102</v>
      </c>
      <c r="R44" s="24"/>
      <c r="S44" s="24"/>
      <c r="IV44" s="1"/>
    </row>
    <row r="45" s="1" customFormat="1" ht="15" customHeight="1" spans="1:256">
      <c r="A45" s="24">
        <v>43</v>
      </c>
      <c r="B45" s="25" t="s">
        <v>124</v>
      </c>
      <c r="C45" s="25" t="s">
        <v>125</v>
      </c>
      <c r="D45" s="205" t="s">
        <v>126</v>
      </c>
      <c r="E45" s="25" t="str">
        <f t="shared" si="5"/>
        <v>男</v>
      </c>
      <c r="F45" s="24">
        <f ca="1" t="shared" si="6"/>
        <v>53</v>
      </c>
      <c r="G45" s="26">
        <v>18014128381</v>
      </c>
      <c r="H45" s="27">
        <v>45146</v>
      </c>
      <c r="I45" s="27"/>
      <c r="J45" s="25" t="s">
        <v>22</v>
      </c>
      <c r="K45" s="25" t="s">
        <v>100</v>
      </c>
      <c r="L45" s="25" t="str">
        <f ca="1" t="shared" si="2"/>
        <v>2年8个月</v>
      </c>
      <c r="M45" s="25" t="e">
        <f>IF(#REF!&lt;&gt;"","离职","在职")</f>
        <v>#REF!</v>
      </c>
      <c r="N45" s="24"/>
      <c r="O45" s="24"/>
      <c r="P45" s="24"/>
      <c r="Q45" s="24"/>
      <c r="R45" s="24"/>
      <c r="S45" s="24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</row>
    <row r="46" s="1" customFormat="1" ht="15" customHeight="1" spans="1:256">
      <c r="A46" s="24">
        <v>44</v>
      </c>
      <c r="B46" s="25"/>
      <c r="C46" s="25" t="s">
        <v>127</v>
      </c>
      <c r="D46" s="205" t="s">
        <v>128</v>
      </c>
      <c r="E46" s="25" t="str">
        <f t="shared" si="5"/>
        <v>男</v>
      </c>
      <c r="F46" s="24">
        <f ca="1" t="shared" si="6"/>
        <v>63</v>
      </c>
      <c r="G46" s="26">
        <v>18361654948</v>
      </c>
      <c r="H46" s="27">
        <v>45152</v>
      </c>
      <c r="I46" s="27"/>
      <c r="J46" s="25" t="s">
        <v>109</v>
      </c>
      <c r="K46" s="25" t="s">
        <v>115</v>
      </c>
      <c r="L46" s="25" t="str">
        <f ca="1" t="shared" si="2"/>
        <v>2年7个月</v>
      </c>
      <c r="M46" s="25" t="e">
        <f>IF(#REF!&lt;&gt;"","离职","在职")</f>
        <v>#REF!</v>
      </c>
      <c r="N46" s="24"/>
      <c r="O46" s="25" t="s">
        <v>129</v>
      </c>
      <c r="P46" s="29" t="s">
        <v>101</v>
      </c>
      <c r="Q46" s="29" t="s">
        <v>102</v>
      </c>
      <c r="R46" s="24"/>
      <c r="S46" s="24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</row>
    <row r="47" s="1" customFormat="1" ht="15" customHeight="1" spans="1:256">
      <c r="A47" s="24">
        <v>45</v>
      </c>
      <c r="B47" s="25" t="s">
        <v>130</v>
      </c>
      <c r="C47" s="25" t="s">
        <v>131</v>
      </c>
      <c r="D47" s="205" t="s">
        <v>132</v>
      </c>
      <c r="E47" s="25" t="str">
        <f t="shared" si="5"/>
        <v>男</v>
      </c>
      <c r="F47" s="24">
        <f ca="1" t="shared" si="6"/>
        <v>57</v>
      </c>
      <c r="G47" s="26">
        <v>15295355938</v>
      </c>
      <c r="H47" s="27">
        <v>45152</v>
      </c>
      <c r="I47" s="27"/>
      <c r="J47" s="25" t="s">
        <v>22</v>
      </c>
      <c r="K47" s="25" t="s">
        <v>100</v>
      </c>
      <c r="L47" s="25" t="str">
        <f ca="1" t="shared" si="2"/>
        <v>2年7个月</v>
      </c>
      <c r="M47" s="25" t="e">
        <f>IF(#REF!&lt;&gt;"","离职","在职")</f>
        <v>#REF!</v>
      </c>
      <c r="N47" s="24"/>
      <c r="O47" s="25" t="s">
        <v>129</v>
      </c>
      <c r="P47" s="29" t="s">
        <v>101</v>
      </c>
      <c r="Q47" s="29" t="s">
        <v>102</v>
      </c>
      <c r="R47" s="24"/>
      <c r="S47" s="24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</row>
    <row r="48" s="1" customFormat="1" ht="15" customHeight="1" spans="1:256">
      <c r="A48" s="24">
        <v>46</v>
      </c>
      <c r="B48" s="25" t="s">
        <v>133</v>
      </c>
      <c r="C48" s="25" t="s">
        <v>134</v>
      </c>
      <c r="D48" s="205" t="s">
        <v>135</v>
      </c>
      <c r="E48" s="25" t="str">
        <f t="shared" si="5"/>
        <v>女</v>
      </c>
      <c r="F48" s="24">
        <f ca="1" t="shared" si="6"/>
        <v>58</v>
      </c>
      <c r="G48" s="26">
        <v>18362461765</v>
      </c>
      <c r="H48" s="27">
        <v>45152</v>
      </c>
      <c r="I48" s="27"/>
      <c r="J48" s="25" t="s">
        <v>22</v>
      </c>
      <c r="K48" s="25" t="s">
        <v>100</v>
      </c>
      <c r="L48" s="25" t="str">
        <f ca="1" t="shared" si="2"/>
        <v>2年7个月</v>
      </c>
      <c r="M48" s="25" t="e">
        <f>IF(#REF!&lt;&gt;"","离职","在职")</f>
        <v>#REF!</v>
      </c>
      <c r="N48" s="24"/>
      <c r="O48" s="25" t="s">
        <v>129</v>
      </c>
      <c r="P48" s="29" t="s">
        <v>101</v>
      </c>
      <c r="Q48" s="29" t="s">
        <v>102</v>
      </c>
      <c r="R48" s="24"/>
      <c r="S48" s="24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</row>
    <row r="49" s="1" customFormat="1" ht="15" customHeight="1" spans="1:255">
      <c r="A49" s="24">
        <v>47</v>
      </c>
      <c r="B49" s="25" t="s">
        <v>136</v>
      </c>
      <c r="C49" s="25" t="s">
        <v>137</v>
      </c>
      <c r="D49" s="205" t="s">
        <v>138</v>
      </c>
      <c r="E49" s="25" t="str">
        <f t="shared" si="5"/>
        <v>女</v>
      </c>
      <c r="F49" s="24">
        <f ca="1" t="shared" si="6"/>
        <v>45</v>
      </c>
      <c r="G49" s="26">
        <v>13222354998</v>
      </c>
      <c r="H49" s="27">
        <v>45152</v>
      </c>
      <c r="I49" s="27"/>
      <c r="J49" s="25" t="s">
        <v>22</v>
      </c>
      <c r="K49" s="25" t="s">
        <v>100</v>
      </c>
      <c r="L49" s="25" t="str">
        <f ca="1" t="shared" si="2"/>
        <v>2年7个月</v>
      </c>
      <c r="M49" s="25" t="e">
        <f>IF(#REF!&lt;&gt;"","离职","在职")</f>
        <v>#REF!</v>
      </c>
      <c r="N49" s="24"/>
      <c r="O49" s="25" t="s">
        <v>129</v>
      </c>
      <c r="P49" s="29" t="s">
        <v>101</v>
      </c>
      <c r="Q49" s="25" t="s">
        <v>111</v>
      </c>
      <c r="R49" s="24"/>
      <c r="S49" s="24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</row>
    <row r="50" s="1" customFormat="1" ht="15" customHeight="1" spans="1:255">
      <c r="A50" s="24">
        <v>48</v>
      </c>
      <c r="B50" s="25" t="s">
        <v>139</v>
      </c>
      <c r="C50" s="25" t="s">
        <v>140</v>
      </c>
      <c r="D50" s="205" t="s">
        <v>141</v>
      </c>
      <c r="E50" s="25" t="str">
        <f t="shared" si="5"/>
        <v>女</v>
      </c>
      <c r="F50" s="24">
        <f ca="1" t="shared" si="6"/>
        <v>46</v>
      </c>
      <c r="G50" s="26">
        <v>19941573114</v>
      </c>
      <c r="H50" s="27">
        <v>45150</v>
      </c>
      <c r="I50" s="27"/>
      <c r="J50" s="25" t="s">
        <v>22</v>
      </c>
      <c r="K50" s="25" t="s">
        <v>100</v>
      </c>
      <c r="L50" s="25" t="str">
        <f ca="1" t="shared" si="2"/>
        <v>2年8个月</v>
      </c>
      <c r="M50" s="25" t="e">
        <f>IF(#REF!&lt;&gt;"","离职","在职")</f>
        <v>#REF!</v>
      </c>
      <c r="N50" s="24"/>
      <c r="O50" s="24"/>
      <c r="P50" s="29" t="s">
        <v>101</v>
      </c>
      <c r="Q50" s="25" t="s">
        <v>111</v>
      </c>
      <c r="R50" s="24"/>
      <c r="S50" s="24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</row>
    <row r="51" s="1" customFormat="1" ht="15" customHeight="1" spans="1:255">
      <c r="A51" s="24">
        <v>49</v>
      </c>
      <c r="B51" s="25" t="s">
        <v>142</v>
      </c>
      <c r="C51" s="25" t="s">
        <v>143</v>
      </c>
      <c r="D51" s="205" t="s">
        <v>144</v>
      </c>
      <c r="E51" s="25" t="str">
        <f t="shared" si="5"/>
        <v>男</v>
      </c>
      <c r="F51" s="24">
        <f ca="1" t="shared" si="6"/>
        <v>32</v>
      </c>
      <c r="G51" s="26">
        <v>17712509797</v>
      </c>
      <c r="H51" s="27">
        <v>45152</v>
      </c>
      <c r="I51" s="27"/>
      <c r="J51" s="25" t="s">
        <v>109</v>
      </c>
      <c r="K51" s="25" t="s">
        <v>110</v>
      </c>
      <c r="L51" s="25" t="str">
        <f ca="1" t="shared" si="2"/>
        <v>2年7个月</v>
      </c>
      <c r="M51" s="25" t="e">
        <f>IF(#REF!&lt;&gt;"","离职","在职")</f>
        <v>#REF!</v>
      </c>
      <c r="N51" s="24"/>
      <c r="O51" s="24"/>
      <c r="P51" s="29" t="s">
        <v>101</v>
      </c>
      <c r="Q51" s="25" t="s">
        <v>111</v>
      </c>
      <c r="R51" s="24"/>
      <c r="S51" s="24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</row>
    <row r="52" s="1" customFormat="1" ht="15" customHeight="1" spans="1:255">
      <c r="A52" s="24">
        <v>50</v>
      </c>
      <c r="B52" s="25" t="s">
        <v>145</v>
      </c>
      <c r="C52" s="25" t="s">
        <v>146</v>
      </c>
      <c r="D52" s="205" t="s">
        <v>147</v>
      </c>
      <c r="E52" s="25" t="str">
        <f t="shared" si="5"/>
        <v>男</v>
      </c>
      <c r="F52" s="24">
        <f ca="1" t="shared" si="6"/>
        <v>42</v>
      </c>
      <c r="G52" s="26">
        <v>19812277106</v>
      </c>
      <c r="H52" s="27">
        <v>45153</v>
      </c>
      <c r="I52" s="27"/>
      <c r="J52" s="25" t="s">
        <v>122</v>
      </c>
      <c r="K52" s="25" t="s">
        <v>148</v>
      </c>
      <c r="L52" s="25" t="str">
        <f ca="1" t="shared" si="2"/>
        <v>2年7个月</v>
      </c>
      <c r="M52" s="25" t="e">
        <f>IF(#REF!&lt;&gt;"","离职","在职")</f>
        <v>#REF!</v>
      </c>
      <c r="N52" s="24"/>
      <c r="O52" s="24"/>
      <c r="P52" s="29" t="s">
        <v>101</v>
      </c>
      <c r="Q52" s="25" t="s">
        <v>111</v>
      </c>
      <c r="R52" s="24"/>
      <c r="S52" s="24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</row>
    <row r="53" s="1" customFormat="1" ht="15" customHeight="1" spans="1:255">
      <c r="A53" s="24">
        <v>51</v>
      </c>
      <c r="B53" s="25" t="s">
        <v>149</v>
      </c>
      <c r="C53" s="25" t="s">
        <v>150</v>
      </c>
      <c r="D53" s="205" t="s">
        <v>151</v>
      </c>
      <c r="E53" s="25" t="s">
        <v>152</v>
      </c>
      <c r="F53" s="24">
        <v>39</v>
      </c>
      <c r="G53" s="26">
        <v>13770216036</v>
      </c>
      <c r="H53" s="27">
        <v>45219</v>
      </c>
      <c r="I53" s="27"/>
      <c r="J53" s="24"/>
      <c r="K53" s="25" t="s">
        <v>100</v>
      </c>
      <c r="L53" s="25" t="s">
        <v>153</v>
      </c>
      <c r="M53" s="25" t="s">
        <v>154</v>
      </c>
      <c r="N53" s="24"/>
      <c r="O53" s="24"/>
      <c r="P53" s="29" t="s">
        <v>101</v>
      </c>
      <c r="Q53" s="24"/>
      <c r="R53" s="24"/>
      <c r="S53" s="24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</row>
    <row r="54" s="1" customFormat="1" ht="15" customHeight="1" spans="1:255">
      <c r="A54" s="24">
        <v>52</v>
      </c>
      <c r="B54" s="25" t="s">
        <v>155</v>
      </c>
      <c r="C54" s="25" t="s">
        <v>156</v>
      </c>
      <c r="D54" s="205" t="s">
        <v>157</v>
      </c>
      <c r="E54" s="25" t="s">
        <v>158</v>
      </c>
      <c r="F54" s="24">
        <v>49</v>
      </c>
      <c r="G54" s="26">
        <v>13685221641</v>
      </c>
      <c r="H54" s="27">
        <v>45218</v>
      </c>
      <c r="I54" s="27"/>
      <c r="J54" s="24"/>
      <c r="K54" s="25" t="s">
        <v>100</v>
      </c>
      <c r="L54" s="25" t="s">
        <v>153</v>
      </c>
      <c r="M54" s="25" t="s">
        <v>154</v>
      </c>
      <c r="N54" s="24"/>
      <c r="O54" s="24"/>
      <c r="P54" s="29" t="s">
        <v>101</v>
      </c>
      <c r="Q54" s="24"/>
      <c r="R54" s="24"/>
      <c r="S54" s="24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  <c r="IU54" s="3"/>
    </row>
    <row r="55" s="1" customFormat="1" ht="15" customHeight="1" spans="1:255">
      <c r="A55" s="24">
        <v>53</v>
      </c>
      <c r="B55" s="25" t="s">
        <v>159</v>
      </c>
      <c r="C55" s="25" t="s">
        <v>160</v>
      </c>
      <c r="D55" s="205" t="s">
        <v>161</v>
      </c>
      <c r="E55" s="25" t="s">
        <v>158</v>
      </c>
      <c r="F55" s="24">
        <v>39</v>
      </c>
      <c r="G55" s="26">
        <v>15961906055</v>
      </c>
      <c r="H55" s="27">
        <v>45208</v>
      </c>
      <c r="I55" s="27"/>
      <c r="J55" s="24"/>
      <c r="K55" s="25" t="s">
        <v>100</v>
      </c>
      <c r="L55" s="25" t="s">
        <v>153</v>
      </c>
      <c r="M55" s="25" t="s">
        <v>154</v>
      </c>
      <c r="N55" s="24"/>
      <c r="O55" s="24"/>
      <c r="P55" s="29" t="s">
        <v>101</v>
      </c>
      <c r="Q55" s="24"/>
      <c r="R55" s="24"/>
      <c r="S55" s="24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  <c r="IU55" s="3"/>
    </row>
    <row r="56" s="1" customFormat="1" ht="15" customHeight="1" spans="1:255">
      <c r="A56" s="24">
        <v>54</v>
      </c>
      <c r="B56" s="25" t="s">
        <v>162</v>
      </c>
      <c r="C56" s="25" t="s">
        <v>163</v>
      </c>
      <c r="D56" s="205" t="s">
        <v>164</v>
      </c>
      <c r="E56" s="25" t="s">
        <v>158</v>
      </c>
      <c r="F56" s="24">
        <v>31</v>
      </c>
      <c r="G56" s="26">
        <v>13770210231</v>
      </c>
      <c r="H56" s="27">
        <v>45215</v>
      </c>
      <c r="I56" s="27"/>
      <c r="J56" s="25" t="s">
        <v>122</v>
      </c>
      <c r="K56" s="25" t="s">
        <v>123</v>
      </c>
      <c r="L56" s="25" t="s">
        <v>153</v>
      </c>
      <c r="M56" s="25" t="s">
        <v>154</v>
      </c>
      <c r="N56" s="24"/>
      <c r="O56" s="24"/>
      <c r="P56" s="29" t="s">
        <v>101</v>
      </c>
      <c r="Q56" s="24"/>
      <c r="R56" s="24"/>
      <c r="S56" s="24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  <c r="IU56" s="3"/>
    </row>
    <row r="57" s="1" customFormat="1" ht="15" customHeight="1" spans="1:255">
      <c r="A57" s="24">
        <v>55</v>
      </c>
      <c r="B57" s="25" t="s">
        <v>165</v>
      </c>
      <c r="C57" s="25" t="s">
        <v>166</v>
      </c>
      <c r="D57" s="205" t="s">
        <v>167</v>
      </c>
      <c r="E57" s="25" t="s">
        <v>152</v>
      </c>
      <c r="F57" s="24">
        <v>34</v>
      </c>
      <c r="G57" s="26">
        <v>15251157106</v>
      </c>
      <c r="H57" s="27">
        <v>45194</v>
      </c>
      <c r="I57" s="27"/>
      <c r="J57" s="25" t="s">
        <v>122</v>
      </c>
      <c r="K57" s="25" t="s">
        <v>168</v>
      </c>
      <c r="L57" s="25" t="s">
        <v>153</v>
      </c>
      <c r="M57" s="25" t="s">
        <v>154</v>
      </c>
      <c r="N57" s="24"/>
      <c r="O57" s="24"/>
      <c r="P57" s="29" t="s">
        <v>101</v>
      </c>
      <c r="Q57" s="24"/>
      <c r="R57" s="24"/>
      <c r="S57" s="24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3"/>
      <c r="IS57" s="3"/>
      <c r="IT57" s="3"/>
      <c r="IU57" s="3"/>
    </row>
    <row r="58" s="1" customFormat="1" ht="15" customHeight="1" spans="1:255">
      <c r="A58" s="24">
        <v>56</v>
      </c>
      <c r="B58" s="25" t="s">
        <v>169</v>
      </c>
      <c r="C58" s="25" t="s">
        <v>170</v>
      </c>
      <c r="D58" s="205" t="s">
        <v>171</v>
      </c>
      <c r="E58" s="25" t="s">
        <v>158</v>
      </c>
      <c r="F58" s="24">
        <v>30</v>
      </c>
      <c r="G58" s="26">
        <v>18914641814</v>
      </c>
      <c r="H58" s="27">
        <v>45157</v>
      </c>
      <c r="I58" s="27"/>
      <c r="J58" s="25" t="s">
        <v>122</v>
      </c>
      <c r="K58" s="25" t="s">
        <v>172</v>
      </c>
      <c r="L58" s="25" t="str">
        <f ca="1" t="shared" ref="L58:L65" si="7">DATEDIF(H58,TODAY(),"Y")&amp;"年"&amp;DATEDIF(H58,TODAY(),"YM")&amp;"个月"</f>
        <v>2年7个月</v>
      </c>
      <c r="M58" s="25" t="s">
        <v>154</v>
      </c>
      <c r="N58" s="24"/>
      <c r="O58" s="24"/>
      <c r="P58" s="29" t="s">
        <v>101</v>
      </c>
      <c r="Q58" s="25" t="s">
        <v>111</v>
      </c>
      <c r="R58" s="24"/>
      <c r="S58" s="24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  <c r="IU58" s="3"/>
    </row>
    <row r="59" s="1" customFormat="1" ht="15" customHeight="1" spans="1:255">
      <c r="A59" s="24">
        <v>57</v>
      </c>
      <c r="B59" s="25" t="s">
        <v>173</v>
      </c>
      <c r="C59" s="25" t="s">
        <v>174</v>
      </c>
      <c r="D59" s="25" t="s">
        <v>175</v>
      </c>
      <c r="E59" s="25" t="str">
        <f t="shared" ref="E59:E61" si="8">IF(MOD(MID(D59,17,1),2),"男","女")</f>
        <v>女</v>
      </c>
      <c r="F59" s="24">
        <f ca="1" t="shared" ref="F59:F61" si="9">YEAR(NOW())-MID(D59,7,4)</f>
        <v>31</v>
      </c>
      <c r="G59" s="26">
        <v>15513922744</v>
      </c>
      <c r="H59" s="27">
        <v>45131</v>
      </c>
      <c r="I59" s="27"/>
      <c r="J59" s="25" t="s">
        <v>33</v>
      </c>
      <c r="K59" s="25" t="s">
        <v>176</v>
      </c>
      <c r="L59" s="25" t="str">
        <f ca="1" t="shared" si="7"/>
        <v>2年8个月</v>
      </c>
      <c r="M59" s="25" t="s">
        <v>154</v>
      </c>
      <c r="N59" s="24"/>
      <c r="O59" s="24"/>
      <c r="P59" s="29" t="s">
        <v>101</v>
      </c>
      <c r="Q59" s="25" t="s">
        <v>111</v>
      </c>
      <c r="R59" s="24"/>
      <c r="S59" s="24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</row>
    <row r="60" s="1" customFormat="1" ht="15" customHeight="1" spans="1:255">
      <c r="A60" s="24">
        <v>58</v>
      </c>
      <c r="B60" s="25" t="s">
        <v>177</v>
      </c>
      <c r="C60" s="25" t="s">
        <v>178</v>
      </c>
      <c r="D60" s="205" t="s">
        <v>179</v>
      </c>
      <c r="E60" s="25" t="str">
        <f t="shared" si="8"/>
        <v>女</v>
      </c>
      <c r="F60" s="24">
        <f ca="1" t="shared" si="9"/>
        <v>35</v>
      </c>
      <c r="G60" s="26">
        <v>18796546360</v>
      </c>
      <c r="H60" s="27">
        <v>45142</v>
      </c>
      <c r="I60" s="27"/>
      <c r="J60" s="25" t="s">
        <v>22</v>
      </c>
      <c r="K60" s="25" t="s">
        <v>180</v>
      </c>
      <c r="L60" s="25" t="str">
        <f ca="1" t="shared" si="7"/>
        <v>2年8个月</v>
      </c>
      <c r="M60" s="25" t="s">
        <v>154</v>
      </c>
      <c r="N60" s="24"/>
      <c r="O60" s="24"/>
      <c r="P60" s="29" t="s">
        <v>101</v>
      </c>
      <c r="Q60" s="25" t="s">
        <v>111</v>
      </c>
      <c r="R60" s="24"/>
      <c r="S60" s="24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  <c r="IU60" s="3"/>
    </row>
    <row r="61" s="1" customFormat="1" ht="15" customHeight="1" spans="1:255">
      <c r="A61" s="24">
        <v>59</v>
      </c>
      <c r="B61" s="25" t="s">
        <v>181</v>
      </c>
      <c r="C61" s="25" t="s">
        <v>182</v>
      </c>
      <c r="D61" s="205" t="s">
        <v>183</v>
      </c>
      <c r="E61" s="25" t="str">
        <f t="shared" si="8"/>
        <v>女</v>
      </c>
      <c r="F61" s="24">
        <f ca="1" t="shared" si="9"/>
        <v>55</v>
      </c>
      <c r="G61" s="26">
        <v>15895155820</v>
      </c>
      <c r="H61" s="27">
        <v>45146</v>
      </c>
      <c r="I61" s="27"/>
      <c r="J61" s="25" t="s">
        <v>22</v>
      </c>
      <c r="K61" s="25" t="s">
        <v>100</v>
      </c>
      <c r="L61" s="25" t="str">
        <f ca="1" t="shared" si="7"/>
        <v>2年8个月</v>
      </c>
      <c r="M61" s="25" t="s">
        <v>154</v>
      </c>
      <c r="N61" s="24"/>
      <c r="O61" s="24"/>
      <c r="P61" s="29" t="s">
        <v>101</v>
      </c>
      <c r="Q61" s="25" t="s">
        <v>111</v>
      </c>
      <c r="R61" s="24"/>
      <c r="S61" s="24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  <c r="IT61" s="3"/>
      <c r="IU61" s="3"/>
    </row>
    <row r="62" s="1" customFormat="1" ht="15" customHeight="1" spans="1:255">
      <c r="A62" s="24">
        <v>60</v>
      </c>
      <c r="B62" s="25" t="s">
        <v>184</v>
      </c>
      <c r="C62" s="25" t="s">
        <v>185</v>
      </c>
      <c r="D62" s="207" t="s">
        <v>186</v>
      </c>
      <c r="E62" s="25" t="s">
        <v>152</v>
      </c>
      <c r="F62" s="24">
        <v>48</v>
      </c>
      <c r="G62" s="26">
        <v>13338928397</v>
      </c>
      <c r="H62" s="27">
        <v>45187</v>
      </c>
      <c r="I62" s="27"/>
      <c r="J62" s="25" t="s">
        <v>22</v>
      </c>
      <c r="K62" s="25" t="s">
        <v>100</v>
      </c>
      <c r="L62" s="25" t="str">
        <f ca="1" t="shared" si="7"/>
        <v>2年6个月</v>
      </c>
      <c r="M62" s="25" t="s">
        <v>154</v>
      </c>
      <c r="N62" s="24"/>
      <c r="O62" s="24"/>
      <c r="P62" s="29" t="s">
        <v>101</v>
      </c>
      <c r="Q62" s="24"/>
      <c r="R62" s="24"/>
      <c r="S62" s="24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</row>
    <row r="63" s="1" customFormat="1" ht="15" customHeight="1" spans="1:255">
      <c r="A63" s="24">
        <v>61</v>
      </c>
      <c r="B63" s="25" t="s">
        <v>187</v>
      </c>
      <c r="C63" s="25" t="s">
        <v>188</v>
      </c>
      <c r="D63" s="205" t="s">
        <v>189</v>
      </c>
      <c r="E63" s="25" t="s">
        <v>158</v>
      </c>
      <c r="F63" s="24">
        <v>29</v>
      </c>
      <c r="G63" s="26">
        <v>18451326022</v>
      </c>
      <c r="H63" s="27">
        <v>45188</v>
      </c>
      <c r="I63" s="27"/>
      <c r="J63" s="25" t="s">
        <v>22</v>
      </c>
      <c r="K63" s="25" t="s">
        <v>100</v>
      </c>
      <c r="L63" s="25" t="str">
        <f ca="1" t="shared" si="7"/>
        <v>2年6个月</v>
      </c>
      <c r="M63" s="25" t="s">
        <v>154</v>
      </c>
      <c r="N63" s="24"/>
      <c r="O63" s="24"/>
      <c r="P63" s="29" t="s">
        <v>101</v>
      </c>
      <c r="Q63" s="24"/>
      <c r="R63" s="24"/>
      <c r="S63" s="24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3"/>
      <c r="IR63" s="3"/>
      <c r="IS63" s="3"/>
      <c r="IT63" s="3"/>
      <c r="IU63" s="3"/>
    </row>
    <row r="64" s="1" customFormat="1" ht="15" customHeight="1" spans="1:255">
      <c r="A64" s="24">
        <v>62</v>
      </c>
      <c r="B64" s="25" t="s">
        <v>190</v>
      </c>
      <c r="C64" s="25" t="s">
        <v>191</v>
      </c>
      <c r="D64" s="205" t="s">
        <v>192</v>
      </c>
      <c r="E64" s="25" t="s">
        <v>152</v>
      </c>
      <c r="F64" s="24">
        <v>40</v>
      </c>
      <c r="G64" s="26">
        <v>13770214517</v>
      </c>
      <c r="H64" s="27">
        <v>45188</v>
      </c>
      <c r="I64" s="27"/>
      <c r="J64" s="25" t="s">
        <v>22</v>
      </c>
      <c r="K64" s="25" t="s">
        <v>100</v>
      </c>
      <c r="L64" s="25" t="str">
        <f ca="1" t="shared" si="7"/>
        <v>2年6个月</v>
      </c>
      <c r="M64" s="25" t="s">
        <v>154</v>
      </c>
      <c r="N64" s="24"/>
      <c r="O64" s="24"/>
      <c r="P64" s="29" t="s">
        <v>101</v>
      </c>
      <c r="Q64" s="24"/>
      <c r="R64" s="24"/>
      <c r="S64" s="24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</row>
    <row r="65" s="1" customFormat="1" ht="15" customHeight="1" spans="1:256">
      <c r="A65" s="24">
        <v>63</v>
      </c>
      <c r="B65" s="25" t="s">
        <v>193</v>
      </c>
      <c r="C65" s="25" t="s">
        <v>194</v>
      </c>
      <c r="D65" s="205" t="s">
        <v>195</v>
      </c>
      <c r="E65" s="25" t="s">
        <v>152</v>
      </c>
      <c r="F65" s="24">
        <v>50</v>
      </c>
      <c r="G65" s="26">
        <v>15195158592</v>
      </c>
      <c r="H65" s="27">
        <v>45153</v>
      </c>
      <c r="I65" s="27"/>
      <c r="J65" s="25" t="s">
        <v>22</v>
      </c>
      <c r="K65" s="25" t="s">
        <v>100</v>
      </c>
      <c r="L65" s="25" t="str">
        <f ca="1" t="shared" si="7"/>
        <v>2年7个月</v>
      </c>
      <c r="M65" s="25" t="s">
        <v>154</v>
      </c>
      <c r="N65" s="24"/>
      <c r="O65" s="24"/>
      <c r="P65" s="29" t="s">
        <v>101</v>
      </c>
      <c r="Q65" s="24"/>
      <c r="R65" s="24"/>
      <c r="S65" s="24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</row>
    <row r="66" s="4" customFormat="1" ht="15" hidden="1" customHeight="1" spans="1:256">
      <c r="A66" s="24">
        <v>64</v>
      </c>
      <c r="B66" s="31"/>
      <c r="C66" s="31"/>
      <c r="D66" s="31"/>
      <c r="E66" s="31"/>
      <c r="F66" s="31"/>
      <c r="G66" s="31"/>
      <c r="H66" s="32"/>
      <c r="I66" s="32"/>
      <c r="J66" s="31"/>
      <c r="K66" s="31"/>
      <c r="L66" s="31"/>
      <c r="M66" s="31"/>
      <c r="N66" s="31"/>
      <c r="O66" s="31"/>
      <c r="P66" s="19"/>
      <c r="Q66" s="31"/>
      <c r="R66" s="19"/>
      <c r="S66" s="19"/>
    </row>
    <row r="67" s="4" customFormat="1" ht="15" hidden="1" customHeight="1" spans="1:256">
      <c r="A67" s="24">
        <v>65</v>
      </c>
      <c r="B67" s="31"/>
      <c r="C67" s="31"/>
      <c r="D67" s="31"/>
      <c r="E67" s="31"/>
      <c r="F67" s="31"/>
      <c r="G67" s="31"/>
      <c r="H67" s="32"/>
      <c r="I67" s="32"/>
      <c r="J67" s="31"/>
      <c r="K67" s="31"/>
      <c r="L67" s="31"/>
      <c r="M67" s="31"/>
      <c r="N67" s="31"/>
      <c r="O67" s="31"/>
      <c r="P67" s="19"/>
      <c r="Q67" s="31"/>
      <c r="R67" s="19"/>
      <c r="S67" s="19"/>
    </row>
    <row r="68" s="4" customFormat="1" ht="15" hidden="1" customHeight="1" spans="1:256">
      <c r="A68" s="24">
        <v>66</v>
      </c>
      <c r="B68" s="31"/>
      <c r="C68" s="31"/>
      <c r="D68" s="31"/>
      <c r="E68" s="31"/>
      <c r="F68" s="31"/>
      <c r="G68" s="31"/>
      <c r="H68" s="32"/>
      <c r="I68" s="32"/>
      <c r="J68" s="31"/>
      <c r="K68" s="31"/>
      <c r="L68" s="31"/>
      <c r="M68" s="31"/>
      <c r="N68" s="31"/>
      <c r="O68" s="31"/>
      <c r="P68" s="19"/>
      <c r="Q68" s="31"/>
      <c r="R68" s="19"/>
      <c r="S68" s="19"/>
    </row>
    <row r="69" s="1" customFormat="1" ht="18" customHeight="1" spans="1:256">
      <c r="A69" s="24">
        <v>67</v>
      </c>
      <c r="B69" s="25" t="s">
        <v>196</v>
      </c>
      <c r="C69" s="25" t="s">
        <v>197</v>
      </c>
      <c r="D69" s="205" t="s">
        <v>198</v>
      </c>
      <c r="E69" s="25" t="s">
        <v>158</v>
      </c>
      <c r="F69" s="24">
        <v>31</v>
      </c>
      <c r="G69" s="26">
        <v>19549257938</v>
      </c>
      <c r="H69" s="27">
        <v>45189</v>
      </c>
      <c r="I69" s="27"/>
      <c r="J69" s="25" t="s">
        <v>22</v>
      </c>
      <c r="K69" s="25" t="s">
        <v>100</v>
      </c>
      <c r="L69" s="25" t="str">
        <f ca="1" t="shared" ref="L69:L73" si="10">DATEDIF(H69,TODAY(),"Y")&amp;"年"&amp;DATEDIF(H69,TODAY(),"YM")&amp;"个月"</f>
        <v>2年6个月</v>
      </c>
      <c r="M69" s="25" t="s">
        <v>154</v>
      </c>
      <c r="N69" s="24"/>
      <c r="O69" s="24"/>
      <c r="P69" s="29" t="s">
        <v>101</v>
      </c>
      <c r="Q69" s="24"/>
      <c r="R69" s="33"/>
      <c r="S69" s="33"/>
    </row>
    <row r="70" s="1" customFormat="1" ht="15" customHeight="1" spans="1:256">
      <c r="A70" s="24">
        <v>68</v>
      </c>
      <c r="B70" s="25" t="s">
        <v>199</v>
      </c>
      <c r="C70" s="25" t="s">
        <v>200</v>
      </c>
      <c r="D70" s="205" t="s">
        <v>201</v>
      </c>
      <c r="E70" s="25" t="s">
        <v>152</v>
      </c>
      <c r="F70" s="24">
        <v>49</v>
      </c>
      <c r="G70" s="26">
        <v>18221576816</v>
      </c>
      <c r="H70" s="27">
        <v>45174</v>
      </c>
      <c r="I70" s="27"/>
      <c r="J70" s="24"/>
      <c r="K70" s="24"/>
      <c r="L70" s="25" t="str">
        <f ca="1" t="shared" si="10"/>
        <v>2年7个月</v>
      </c>
      <c r="M70" s="25" t="s">
        <v>154</v>
      </c>
      <c r="N70" s="24"/>
      <c r="O70" s="24"/>
      <c r="P70" s="29" t="s">
        <v>101</v>
      </c>
      <c r="Q70" s="33"/>
      <c r="R70" s="33"/>
      <c r="S70" s="33"/>
    </row>
    <row r="71" s="1" customFormat="1" ht="15" customHeight="1" spans="1:256">
      <c r="A71" s="24">
        <v>69</v>
      </c>
      <c r="B71" s="25" t="s">
        <v>202</v>
      </c>
      <c r="C71" s="25" t="s">
        <v>203</v>
      </c>
      <c r="D71" s="205" t="s">
        <v>204</v>
      </c>
      <c r="E71" s="25" t="s">
        <v>158</v>
      </c>
      <c r="F71" s="24">
        <v>45</v>
      </c>
      <c r="G71" s="26">
        <v>15161906052</v>
      </c>
      <c r="H71" s="27">
        <v>45216</v>
      </c>
      <c r="I71" s="27"/>
      <c r="J71" s="24"/>
      <c r="K71" s="24"/>
      <c r="L71" s="25" t="s">
        <v>153</v>
      </c>
      <c r="M71" s="25" t="s">
        <v>154</v>
      </c>
      <c r="N71" s="24"/>
      <c r="O71" s="24"/>
      <c r="P71" s="29" t="s">
        <v>101</v>
      </c>
      <c r="Q71" s="33"/>
      <c r="R71" s="33"/>
      <c r="S71" s="33"/>
    </row>
    <row r="72" s="1" customFormat="1" ht="15" customHeight="1" spans="1:256">
      <c r="A72" s="24">
        <v>70</v>
      </c>
      <c r="B72" s="25" t="s">
        <v>205</v>
      </c>
      <c r="C72" s="25" t="s">
        <v>206</v>
      </c>
      <c r="D72" s="205" t="s">
        <v>207</v>
      </c>
      <c r="E72" s="25" t="s">
        <v>152</v>
      </c>
      <c r="F72" s="24">
        <v>54</v>
      </c>
      <c r="G72" s="26">
        <v>13236132652</v>
      </c>
      <c r="H72" s="27">
        <v>45212</v>
      </c>
      <c r="I72" s="27"/>
      <c r="J72" s="24"/>
      <c r="K72" s="25" t="s">
        <v>100</v>
      </c>
      <c r="L72" s="25" t="s">
        <v>153</v>
      </c>
      <c r="M72" s="25" t="s">
        <v>154</v>
      </c>
      <c r="N72" s="24"/>
      <c r="O72" s="24"/>
      <c r="P72" s="29" t="s">
        <v>101</v>
      </c>
      <c r="Q72" s="33"/>
      <c r="R72" s="33"/>
      <c r="S72" s="33"/>
    </row>
    <row r="73" s="1" customFormat="1" ht="15" customHeight="1" spans="1:256">
      <c r="A73" s="24">
        <v>71</v>
      </c>
      <c r="B73" s="25" t="s">
        <v>208</v>
      </c>
      <c r="C73" s="25" t="s">
        <v>209</v>
      </c>
      <c r="D73" s="205" t="s">
        <v>210</v>
      </c>
      <c r="E73" s="25" t="s">
        <v>152</v>
      </c>
      <c r="F73" s="24">
        <v>46</v>
      </c>
      <c r="G73" s="26">
        <v>13770225721</v>
      </c>
      <c r="H73" s="27">
        <v>45210</v>
      </c>
      <c r="I73" s="27"/>
      <c r="J73" s="24"/>
      <c r="K73" s="25" t="s">
        <v>100</v>
      </c>
      <c r="L73" s="25" t="str">
        <f ca="1" t="shared" si="10"/>
        <v>2年6个月</v>
      </c>
      <c r="M73" s="25" t="s">
        <v>154</v>
      </c>
      <c r="N73" s="24"/>
      <c r="O73" s="24"/>
      <c r="P73" s="29" t="s">
        <v>101</v>
      </c>
      <c r="Q73" s="24"/>
      <c r="R73" s="24"/>
      <c r="S73" s="24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</row>
    <row r="74" s="1" customFormat="1" ht="15" customHeight="1" spans="1:256">
      <c r="A74" s="24">
        <v>72</v>
      </c>
      <c r="B74" s="25" t="s">
        <v>211</v>
      </c>
      <c r="C74" s="25" t="s">
        <v>212</v>
      </c>
      <c r="D74" s="205" t="s">
        <v>213</v>
      </c>
      <c r="E74" s="25" t="s">
        <v>152</v>
      </c>
      <c r="F74" s="24">
        <v>45</v>
      </c>
      <c r="G74" s="26">
        <v>17396886819</v>
      </c>
      <c r="H74" s="27">
        <v>45210</v>
      </c>
      <c r="I74" s="27"/>
      <c r="J74" s="24"/>
      <c r="K74" s="25" t="s">
        <v>100</v>
      </c>
      <c r="L74" s="25" t="s">
        <v>153</v>
      </c>
      <c r="M74" s="25" t="s">
        <v>154</v>
      </c>
      <c r="N74" s="24"/>
      <c r="O74" s="24"/>
      <c r="P74" s="29" t="s">
        <v>101</v>
      </c>
      <c r="Q74" s="24"/>
      <c r="R74" s="24"/>
      <c r="S74" s="24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</row>
    <row r="75" s="1" customFormat="1" ht="15" customHeight="1" spans="1:256">
      <c r="A75" s="24">
        <v>73</v>
      </c>
      <c r="B75" s="25" t="s">
        <v>214</v>
      </c>
      <c r="C75" s="25" t="s">
        <v>215</v>
      </c>
      <c r="D75" s="205" t="s">
        <v>216</v>
      </c>
      <c r="E75" s="25" t="s">
        <v>152</v>
      </c>
      <c r="F75" s="24">
        <v>52</v>
      </c>
      <c r="G75" s="26">
        <v>17768960392</v>
      </c>
      <c r="H75" s="27">
        <v>45206</v>
      </c>
      <c r="I75" s="27"/>
      <c r="J75" s="24"/>
      <c r="K75" s="25" t="s">
        <v>100</v>
      </c>
      <c r="L75" s="25" t="s">
        <v>153</v>
      </c>
      <c r="M75" s="25" t="s">
        <v>154</v>
      </c>
      <c r="N75" s="24"/>
      <c r="O75" s="24"/>
      <c r="P75" s="29" t="s">
        <v>101</v>
      </c>
      <c r="Q75" s="24"/>
      <c r="R75" s="24"/>
      <c r="S75" s="24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</row>
    <row r="76" s="1" customFormat="1" ht="15" customHeight="1" spans="1:256">
      <c r="A76" s="24">
        <v>74</v>
      </c>
      <c r="B76" s="25" t="s">
        <v>217</v>
      </c>
      <c r="C76" s="25" t="s">
        <v>218</v>
      </c>
      <c r="D76" s="205" t="s">
        <v>219</v>
      </c>
      <c r="E76" s="25" t="s">
        <v>152</v>
      </c>
      <c r="F76" s="24">
        <v>46</v>
      </c>
      <c r="G76" s="26">
        <v>13770223397</v>
      </c>
      <c r="H76" s="27">
        <v>45204</v>
      </c>
      <c r="I76" s="27"/>
      <c r="J76" s="24"/>
      <c r="K76" s="25" t="s">
        <v>100</v>
      </c>
      <c r="L76" s="25" t="s">
        <v>153</v>
      </c>
      <c r="M76" s="25" t="s">
        <v>154</v>
      </c>
      <c r="N76" s="24"/>
      <c r="O76" s="24"/>
      <c r="P76" s="29" t="s">
        <v>101</v>
      </c>
      <c r="Q76" s="24"/>
      <c r="R76" s="24"/>
      <c r="S76" s="24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</row>
    <row r="77" s="1" customFormat="1" ht="15" customHeight="1" spans="1:256">
      <c r="A77" s="24">
        <v>75</v>
      </c>
      <c r="B77" s="25" t="s">
        <v>220</v>
      </c>
      <c r="C77" s="25" t="s">
        <v>221</v>
      </c>
      <c r="D77" s="205" t="s">
        <v>222</v>
      </c>
      <c r="E77" s="25" t="s">
        <v>152</v>
      </c>
      <c r="F77" s="24">
        <v>39</v>
      </c>
      <c r="G77" s="26">
        <v>18262378505</v>
      </c>
      <c r="H77" s="27">
        <v>45225</v>
      </c>
      <c r="I77" s="27"/>
      <c r="J77" s="24"/>
      <c r="K77" s="25" t="s">
        <v>100</v>
      </c>
      <c r="L77" s="25" t="s">
        <v>153</v>
      </c>
      <c r="M77" s="25" t="s">
        <v>154</v>
      </c>
      <c r="N77" s="24"/>
      <c r="O77" s="24"/>
      <c r="P77" s="33"/>
      <c r="Q77" s="24"/>
      <c r="R77" s="24"/>
      <c r="S77" s="24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</row>
    <row r="78" ht="15" customHeight="1" spans="1:256">
      <c r="A78" s="24">
        <v>76</v>
      </c>
      <c r="B78" s="24"/>
      <c r="C78" s="25" t="s">
        <v>223</v>
      </c>
      <c r="D78" s="205" t="s">
        <v>224</v>
      </c>
      <c r="E78" s="25" t="s">
        <v>152</v>
      </c>
      <c r="F78" s="24">
        <v>44</v>
      </c>
      <c r="G78" s="26">
        <v>15851144032</v>
      </c>
      <c r="H78" s="27">
        <v>45233</v>
      </c>
      <c r="I78" s="27"/>
      <c r="J78" s="24"/>
      <c r="K78" s="25" t="s">
        <v>115</v>
      </c>
      <c r="L78" s="25" t="s">
        <v>153</v>
      </c>
      <c r="M78" s="25" t="s">
        <v>154</v>
      </c>
      <c r="N78" s="24"/>
      <c r="O78" s="24"/>
      <c r="P78" s="24"/>
      <c r="Q78" s="24"/>
      <c r="R78" s="24"/>
      <c r="S78" s="24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/>
      <c r="IG78" s="3"/>
      <c r="IH78" s="3"/>
      <c r="II78" s="3"/>
      <c r="IJ78" s="3"/>
      <c r="IK78" s="3"/>
      <c r="IL78" s="3"/>
      <c r="IM78" s="3"/>
      <c r="IN78" s="3"/>
      <c r="IO78" s="3"/>
      <c r="IP78" s="3"/>
      <c r="IQ78" s="3"/>
      <c r="IR78" s="3"/>
      <c r="IS78" s="3"/>
      <c r="IT78" s="3"/>
      <c r="IU78" s="3"/>
      <c r="IV78" s="1"/>
    </row>
    <row r="79" ht="15" customHeight="1" spans="1:256">
      <c r="A79" s="24">
        <v>77</v>
      </c>
      <c r="B79" s="24"/>
      <c r="C79" s="25" t="s">
        <v>225</v>
      </c>
      <c r="D79" s="205" t="s">
        <v>226</v>
      </c>
      <c r="E79" s="25" t="s">
        <v>152</v>
      </c>
      <c r="F79" s="24">
        <v>36</v>
      </c>
      <c r="G79" s="26">
        <v>13770186150</v>
      </c>
      <c r="H79" s="27">
        <v>45182</v>
      </c>
      <c r="I79" s="27"/>
      <c r="J79" s="25" t="s">
        <v>122</v>
      </c>
      <c r="K79" s="25" t="s">
        <v>227</v>
      </c>
      <c r="L79" s="25" t="str">
        <f ca="1">DATEDIF(H79,TODAY(),"Y")&amp;"年"&amp;DATEDIF(H79,TODAY(),"YM")&amp;"个月"</f>
        <v>2年7个月</v>
      </c>
      <c r="M79" s="25" t="s">
        <v>154</v>
      </c>
      <c r="N79" s="24"/>
      <c r="O79" s="24"/>
      <c r="P79" s="29" t="s">
        <v>101</v>
      </c>
      <c r="Q79" s="24"/>
      <c r="R79" s="24"/>
      <c r="S79" s="24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  <c r="IA79" s="3"/>
      <c r="IB79" s="3"/>
      <c r="IC79" s="3"/>
      <c r="ID79" s="3"/>
      <c r="IE79" s="3"/>
      <c r="IF79" s="3"/>
      <c r="IG79" s="3"/>
      <c r="IH79" s="3"/>
      <c r="II79" s="3"/>
      <c r="IJ79" s="3"/>
      <c r="IK79" s="3"/>
      <c r="IL79" s="3"/>
      <c r="IM79" s="3"/>
      <c r="IN79" s="3"/>
      <c r="IO79" s="3"/>
      <c r="IP79" s="3"/>
      <c r="IQ79" s="3"/>
      <c r="IR79" s="3"/>
      <c r="IS79" s="3"/>
      <c r="IT79" s="3"/>
      <c r="IU79" s="3"/>
      <c r="IV79" s="1"/>
    </row>
    <row r="80" ht="15" customHeight="1" spans="1:256">
      <c r="A80" s="24">
        <v>78</v>
      </c>
      <c r="B80" s="24"/>
      <c r="C80" s="25" t="s">
        <v>228</v>
      </c>
      <c r="D80" s="205" t="s">
        <v>229</v>
      </c>
      <c r="E80" s="25" t="s">
        <v>152</v>
      </c>
      <c r="F80" s="24">
        <v>52</v>
      </c>
      <c r="G80" s="26">
        <v>13951557842</v>
      </c>
      <c r="H80" s="27">
        <v>45206</v>
      </c>
      <c r="I80" s="27"/>
      <c r="J80" s="24"/>
      <c r="K80" s="25" t="s">
        <v>100</v>
      </c>
      <c r="L80" s="25" t="s">
        <v>153</v>
      </c>
      <c r="M80" s="25" t="s">
        <v>154</v>
      </c>
      <c r="N80" s="24"/>
      <c r="O80" s="24"/>
      <c r="P80" s="24"/>
      <c r="Q80" s="24"/>
      <c r="R80" s="24"/>
      <c r="S80" s="24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  <c r="IA80" s="3"/>
      <c r="IB80" s="3"/>
      <c r="IC80" s="3"/>
      <c r="ID80" s="3"/>
      <c r="IE80" s="3"/>
      <c r="IF80" s="3"/>
      <c r="IG80" s="3"/>
      <c r="IH80" s="3"/>
      <c r="II80" s="3"/>
      <c r="IJ80" s="3"/>
      <c r="IK80" s="3"/>
      <c r="IL80" s="3"/>
      <c r="IM80" s="3"/>
      <c r="IN80" s="3"/>
      <c r="IO80" s="3"/>
      <c r="IP80" s="3"/>
      <c r="IQ80" s="3"/>
      <c r="IR80" s="3"/>
      <c r="IS80" s="3"/>
      <c r="IT80" s="3"/>
      <c r="IU80" s="3"/>
      <c r="IV80" s="1"/>
    </row>
    <row r="81" ht="15" customHeight="1" spans="1:256">
      <c r="A81" s="24">
        <v>79</v>
      </c>
      <c r="B81" s="25" t="s">
        <v>112</v>
      </c>
      <c r="C81" s="25" t="s">
        <v>230</v>
      </c>
      <c r="D81" s="205" t="s">
        <v>231</v>
      </c>
      <c r="E81" s="25" t="s">
        <v>158</v>
      </c>
      <c r="F81" s="24">
        <v>34</v>
      </c>
      <c r="G81" s="26">
        <v>19569496085</v>
      </c>
      <c r="H81" s="27">
        <v>45224</v>
      </c>
      <c r="I81" s="27"/>
      <c r="J81" s="24"/>
      <c r="K81" s="25" t="s">
        <v>100</v>
      </c>
      <c r="L81" s="25" t="s">
        <v>153</v>
      </c>
      <c r="M81" s="25" t="s">
        <v>154</v>
      </c>
      <c r="N81" s="24"/>
      <c r="O81" s="24">
        <v>4500</v>
      </c>
      <c r="P81" s="24"/>
      <c r="Q81" s="29" t="s">
        <v>101</v>
      </c>
      <c r="R81" s="24"/>
      <c r="S81" s="24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  <c r="IU81" s="3"/>
      <c r="IV81" s="1"/>
    </row>
    <row r="82" ht="15" customHeight="1" spans="1:256">
      <c r="A82" s="24">
        <v>80</v>
      </c>
      <c r="B82" s="24"/>
      <c r="C82" s="25" t="s">
        <v>232</v>
      </c>
      <c r="D82" s="205" t="s">
        <v>233</v>
      </c>
      <c r="E82" s="25" t="s">
        <v>152</v>
      </c>
      <c r="F82" s="24">
        <v>48</v>
      </c>
      <c r="G82" s="26">
        <v>15195527260</v>
      </c>
      <c r="H82" s="27">
        <v>45233</v>
      </c>
      <c r="I82" s="27"/>
      <c r="J82" s="24"/>
      <c r="K82" s="24"/>
      <c r="L82" s="25" t="s">
        <v>153</v>
      </c>
      <c r="M82" s="25" t="s">
        <v>154</v>
      </c>
      <c r="N82" s="24"/>
      <c r="O82" s="24"/>
      <c r="P82" s="24"/>
      <c r="Q82" s="24"/>
      <c r="R82" s="24"/>
      <c r="S82" s="24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  <c r="IV82" s="1"/>
    </row>
    <row r="83" ht="15" customHeight="1" spans="1:256">
      <c r="A83" s="24">
        <v>81</v>
      </c>
      <c r="B83" s="24"/>
      <c r="C83" s="25" t="s">
        <v>234</v>
      </c>
      <c r="D83" s="208" t="s">
        <v>235</v>
      </c>
      <c r="E83" s="25" t="s">
        <v>152</v>
      </c>
      <c r="F83" s="24">
        <v>43</v>
      </c>
      <c r="G83" s="35">
        <v>18652393386</v>
      </c>
      <c r="H83" s="27">
        <v>45237</v>
      </c>
      <c r="I83" s="33"/>
      <c r="J83" s="33"/>
      <c r="K83" s="24"/>
      <c r="L83" s="25" t="s">
        <v>153</v>
      </c>
      <c r="M83" s="25" t="s">
        <v>154</v>
      </c>
      <c r="N83" s="24"/>
      <c r="O83" s="24"/>
      <c r="P83" s="24"/>
      <c r="Q83" s="24"/>
      <c r="R83" s="24"/>
      <c r="S83" s="24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3"/>
      <c r="IL83" s="3"/>
      <c r="IM83" s="3"/>
      <c r="IN83" s="3"/>
      <c r="IO83" s="3"/>
      <c r="IP83" s="3"/>
      <c r="IQ83" s="3"/>
      <c r="IR83" s="3"/>
      <c r="IS83" s="3"/>
      <c r="IT83" s="3"/>
      <c r="IU83" s="3"/>
      <c r="IV83" s="1"/>
    </row>
    <row r="84" ht="15" customHeight="1" spans="1:256">
      <c r="A84" s="24">
        <v>82</v>
      </c>
      <c r="B84" s="24"/>
      <c r="C84" s="25" t="s">
        <v>236</v>
      </c>
      <c r="D84" s="205" t="s">
        <v>237</v>
      </c>
      <c r="E84" s="25" t="s">
        <v>152</v>
      </c>
      <c r="F84" s="24">
        <v>44</v>
      </c>
      <c r="G84" s="26">
        <v>15251068337</v>
      </c>
      <c r="H84" s="27">
        <v>45240</v>
      </c>
      <c r="I84" s="24"/>
      <c r="J84" s="24"/>
      <c r="K84" s="25" t="s">
        <v>238</v>
      </c>
      <c r="L84" s="25" t="s">
        <v>153</v>
      </c>
      <c r="M84" s="25" t="s">
        <v>154</v>
      </c>
      <c r="N84" s="24"/>
      <c r="O84" s="25" t="s">
        <v>239</v>
      </c>
      <c r="P84" s="24"/>
      <c r="Q84" s="24"/>
      <c r="R84" s="24"/>
      <c r="S84" s="24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  <c r="IV84" s="1"/>
    </row>
    <row r="85" s="1" customFormat="1" ht="15" customHeight="1" spans="1:256">
      <c r="A85" s="24">
        <v>83</v>
      </c>
      <c r="B85" s="25" t="s">
        <v>240</v>
      </c>
      <c r="C85" s="25" t="s">
        <v>241</v>
      </c>
      <c r="D85" s="25" t="s">
        <v>242</v>
      </c>
      <c r="E85" s="25" t="str">
        <f>IF(MOD(MID(D85,17,1),2),"男","女")</f>
        <v>男</v>
      </c>
      <c r="F85" s="24">
        <f ca="1">YEAR(NOW())-MID(D85,7,4)</f>
        <v>59</v>
      </c>
      <c r="G85" s="28" t="s">
        <v>243</v>
      </c>
      <c r="H85" s="27">
        <v>45108</v>
      </c>
      <c r="I85" s="27"/>
      <c r="J85" s="25" t="s">
        <v>109</v>
      </c>
      <c r="K85" s="25" t="s">
        <v>115</v>
      </c>
      <c r="L85" s="25" t="str">
        <f ca="1" t="shared" ref="L85:L87" si="11">DATEDIF(H85,TODAY(),"Y")&amp;"年"&amp;DATEDIF(H85,TODAY(),"YM")&amp;"个月"</f>
        <v>2年9个月</v>
      </c>
      <c r="M85" s="25" t="s">
        <v>154</v>
      </c>
      <c r="N85" s="25" t="s">
        <v>244</v>
      </c>
      <c r="O85" s="24"/>
      <c r="P85" s="29" t="s">
        <v>101</v>
      </c>
      <c r="Q85" s="29" t="s">
        <v>102</v>
      </c>
      <c r="R85" s="24"/>
      <c r="S85" s="24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  <c r="IT85" s="3"/>
      <c r="IU85" s="3"/>
    </row>
    <row r="86" ht="15" customHeight="1" spans="1:256">
      <c r="A86" s="24">
        <v>84</v>
      </c>
      <c r="B86" s="25" t="s">
        <v>245</v>
      </c>
      <c r="C86" s="25" t="s">
        <v>246</v>
      </c>
      <c r="D86" s="25" t="s">
        <v>247</v>
      </c>
      <c r="E86" s="25" t="str">
        <f>IF(MOD(MID(D86,17,1),2),"男","女")</f>
        <v>男</v>
      </c>
      <c r="F86" s="24">
        <f ca="1">YEAR(NOW())-MID(D86,7,4)</f>
        <v>57</v>
      </c>
      <c r="G86" s="28" t="s">
        <v>248</v>
      </c>
      <c r="H86" s="27">
        <v>44823</v>
      </c>
      <c r="I86" s="27"/>
      <c r="J86" s="25" t="s">
        <v>109</v>
      </c>
      <c r="K86" s="25" t="s">
        <v>115</v>
      </c>
      <c r="L86" s="25" t="str">
        <f ca="1" t="shared" si="11"/>
        <v>3年6个月</v>
      </c>
      <c r="M86" s="25" t="s">
        <v>154</v>
      </c>
      <c r="N86" s="24"/>
      <c r="O86" s="24"/>
      <c r="P86" s="25" t="s">
        <v>249</v>
      </c>
      <c r="Q86" s="24"/>
      <c r="R86" s="24"/>
      <c r="S86" s="24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1"/>
    </row>
    <row r="87" s="1" customFormat="1" ht="15" customHeight="1" spans="1:256">
      <c r="A87" s="24">
        <v>85</v>
      </c>
      <c r="B87" s="25" t="s">
        <v>139</v>
      </c>
      <c r="C87" s="24" t="s">
        <v>250</v>
      </c>
      <c r="D87" s="209" t="s">
        <v>251</v>
      </c>
      <c r="E87" s="24" t="s">
        <v>152</v>
      </c>
      <c r="F87" s="24">
        <v>37</v>
      </c>
      <c r="G87" s="26">
        <v>18251437897</v>
      </c>
      <c r="H87" s="27">
        <v>45243</v>
      </c>
      <c r="I87" s="27"/>
      <c r="J87" s="24"/>
      <c r="K87" s="25" t="s">
        <v>100</v>
      </c>
      <c r="L87" s="25" t="str">
        <f ca="1" t="shared" si="11"/>
        <v>2年5个月</v>
      </c>
      <c r="M87" s="25" t="s">
        <v>154</v>
      </c>
      <c r="N87" s="24"/>
      <c r="O87" s="24"/>
      <c r="P87" s="24"/>
      <c r="Q87" s="24"/>
      <c r="R87" s="24"/>
      <c r="S87" s="24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3"/>
      <c r="IG87" s="3"/>
      <c r="IH87" s="3"/>
      <c r="II87" s="3"/>
      <c r="IJ87" s="3"/>
      <c r="IK87" s="3"/>
      <c r="IL87" s="3"/>
      <c r="IM87" s="3"/>
      <c r="IN87" s="3"/>
      <c r="IO87" s="3"/>
      <c r="IP87" s="3"/>
      <c r="IQ87" s="3"/>
      <c r="IR87" s="3"/>
      <c r="IS87" s="3"/>
      <c r="IT87" s="3"/>
      <c r="IU87" s="3"/>
    </row>
    <row r="88" s="3" customFormat="1" ht="15" customHeight="1" spans="1:256">
      <c r="A88" s="24">
        <v>86</v>
      </c>
      <c r="B88" s="24"/>
      <c r="C88" s="24" t="s">
        <v>252</v>
      </c>
      <c r="D88" s="209" t="s">
        <v>253</v>
      </c>
      <c r="E88" s="24" t="s">
        <v>158</v>
      </c>
      <c r="F88" s="24">
        <v>36</v>
      </c>
      <c r="G88" s="26">
        <v>15366518533</v>
      </c>
      <c r="H88" s="27">
        <v>45240</v>
      </c>
      <c r="I88" s="24"/>
      <c r="J88" s="24"/>
      <c r="K88" s="24" t="s">
        <v>254</v>
      </c>
      <c r="L88" s="25" t="s">
        <v>153</v>
      </c>
      <c r="M88" s="25" t="s">
        <v>154</v>
      </c>
      <c r="N88" s="24"/>
      <c r="O88" s="24" t="s">
        <v>239</v>
      </c>
      <c r="P88" s="24" t="s">
        <v>255</v>
      </c>
      <c r="Q88" s="24"/>
      <c r="R88" s="24"/>
      <c r="S88" s="24"/>
      <c r="IV88" s="1"/>
    </row>
    <row r="89" s="3" customFormat="1" ht="15" customHeight="1" spans="1:256">
      <c r="A89" s="24">
        <v>87</v>
      </c>
      <c r="B89" s="24"/>
      <c r="C89" s="24" t="s">
        <v>256</v>
      </c>
      <c r="D89" s="209" t="s">
        <v>257</v>
      </c>
      <c r="E89" s="25" t="s">
        <v>152</v>
      </c>
      <c r="F89" s="24">
        <v>49</v>
      </c>
      <c r="G89" s="26">
        <v>15366457698</v>
      </c>
      <c r="H89" s="27">
        <v>45245</v>
      </c>
      <c r="I89" s="27"/>
      <c r="J89" s="24"/>
      <c r="K89" s="24" t="s">
        <v>254</v>
      </c>
      <c r="L89" s="25" t="str">
        <f ca="1" t="shared" ref="L89:L104" si="12">DATEDIF(H89,TODAY(),"Y")&amp;"年"&amp;DATEDIF(H89,TODAY(),"YM")&amp;"个月"</f>
        <v>2年4个月</v>
      </c>
      <c r="M89" s="25" t="s">
        <v>154</v>
      </c>
      <c r="N89" s="24" t="s">
        <v>239</v>
      </c>
      <c r="O89" s="24" t="s">
        <v>255</v>
      </c>
      <c r="P89" s="24"/>
      <c r="Q89" s="24"/>
      <c r="R89" s="24"/>
      <c r="S89" s="24"/>
      <c r="IV89" s="1"/>
    </row>
    <row r="90" s="1" customFormat="1" ht="15" customHeight="1" spans="1:256">
      <c r="A90" s="24">
        <v>88</v>
      </c>
      <c r="B90" s="25" t="s">
        <v>103</v>
      </c>
      <c r="C90" s="25" t="s">
        <v>258</v>
      </c>
      <c r="D90" s="205" t="s">
        <v>259</v>
      </c>
      <c r="E90" s="25" t="s">
        <v>152</v>
      </c>
      <c r="F90" s="24">
        <v>46</v>
      </c>
      <c r="G90" s="26">
        <v>15189276507</v>
      </c>
      <c r="H90" s="27">
        <v>45204</v>
      </c>
      <c r="I90" s="27"/>
      <c r="J90" s="24"/>
      <c r="K90" s="25" t="s">
        <v>100</v>
      </c>
      <c r="L90" s="25" t="s">
        <v>153</v>
      </c>
      <c r="M90" s="25" t="s">
        <v>154</v>
      </c>
      <c r="N90" s="24" t="s">
        <v>260</v>
      </c>
      <c r="O90" s="24"/>
      <c r="P90" s="29" t="s">
        <v>101</v>
      </c>
      <c r="Q90" s="24"/>
      <c r="R90" s="24"/>
      <c r="S90" s="24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  <c r="IU90" s="3"/>
    </row>
    <row r="91" s="1" customFormat="1" ht="15" customHeight="1" spans="1:256">
      <c r="A91" s="24">
        <v>89</v>
      </c>
      <c r="B91" s="25" t="s">
        <v>261</v>
      </c>
      <c r="C91" s="24" t="s">
        <v>262</v>
      </c>
      <c r="D91" s="209" t="s">
        <v>263</v>
      </c>
      <c r="E91" s="25" t="s">
        <v>152</v>
      </c>
      <c r="F91" s="24">
        <v>41</v>
      </c>
      <c r="G91" s="26">
        <v>13770218840</v>
      </c>
      <c r="H91" s="27">
        <v>45244</v>
      </c>
      <c r="I91" s="27"/>
      <c r="J91" s="24"/>
      <c r="K91" s="24"/>
      <c r="L91" s="25" t="str">
        <f ca="1" t="shared" si="12"/>
        <v>2年4个月</v>
      </c>
      <c r="M91" s="25" t="s">
        <v>154</v>
      </c>
      <c r="N91" s="24"/>
      <c r="O91" s="24"/>
      <c r="P91" s="24"/>
      <c r="Q91" s="24"/>
      <c r="R91" s="24"/>
      <c r="S91" s="24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3"/>
      <c r="IM91" s="3"/>
      <c r="IN91" s="3"/>
      <c r="IO91" s="3"/>
      <c r="IP91" s="3"/>
      <c r="IQ91" s="3"/>
      <c r="IR91" s="3"/>
      <c r="IS91" s="3"/>
      <c r="IT91" s="3"/>
      <c r="IU91" s="3"/>
    </row>
    <row r="92" s="3" customFormat="1" ht="15" customHeight="1" spans="1:256">
      <c r="A92" s="24">
        <v>90</v>
      </c>
      <c r="B92" s="24"/>
      <c r="C92" s="24" t="s">
        <v>264</v>
      </c>
      <c r="D92" s="209" t="s">
        <v>265</v>
      </c>
      <c r="E92" s="24" t="str">
        <f>IF(MOD(MID(D92,17,1),2)=0,"女","男")</f>
        <v>女</v>
      </c>
      <c r="F92" s="24">
        <f ca="1">YEAR(TODAY())-MID(D92,7,4)</f>
        <v>36</v>
      </c>
      <c r="G92" s="26"/>
      <c r="H92" s="27">
        <f ca="1">TODAY()</f>
        <v>46125</v>
      </c>
      <c r="I92" s="27"/>
      <c r="J92" s="24"/>
      <c r="K92" s="24"/>
      <c r="L92" s="24"/>
      <c r="M92" s="24"/>
      <c r="N92" s="24"/>
      <c r="O92" s="24"/>
      <c r="P92" s="24"/>
      <c r="Q92" s="24"/>
      <c r="R92" s="24"/>
      <c r="S92" s="24"/>
      <c r="IV92" s="1"/>
    </row>
    <row r="93" s="3" customFormat="1" ht="15" customHeight="1" spans="1:256">
      <c r="A93" s="24">
        <v>91</v>
      </c>
      <c r="B93" s="24"/>
      <c r="C93" s="25" t="s">
        <v>266</v>
      </c>
      <c r="D93" s="205" t="s">
        <v>267</v>
      </c>
      <c r="E93" s="25" t="s">
        <v>158</v>
      </c>
      <c r="F93" s="24">
        <v>48</v>
      </c>
      <c r="G93" s="26">
        <v>13815554219</v>
      </c>
      <c r="H93" s="27">
        <v>45216</v>
      </c>
      <c r="I93" s="27"/>
      <c r="J93" s="24"/>
      <c r="K93" s="24"/>
      <c r="L93" s="25" t="str">
        <f ca="1" t="shared" si="12"/>
        <v>2年5个月</v>
      </c>
      <c r="M93" s="25" t="s">
        <v>154</v>
      </c>
      <c r="N93" s="24"/>
      <c r="O93" s="24"/>
      <c r="P93" s="29" t="s">
        <v>101</v>
      </c>
      <c r="Q93" s="24"/>
      <c r="R93" s="24"/>
      <c r="S93" s="24"/>
      <c r="IV93" s="1"/>
    </row>
    <row r="94" s="3" customFormat="1" ht="15" customHeight="1" spans="1:256">
      <c r="A94" s="24">
        <v>92</v>
      </c>
      <c r="B94" s="24"/>
      <c r="C94" s="24" t="s">
        <v>268</v>
      </c>
      <c r="D94" s="209" t="s">
        <v>269</v>
      </c>
      <c r="E94" s="24" t="str">
        <f>IF(MOD(MID(D94,17,1),2)=0,"女","男")</f>
        <v>男</v>
      </c>
      <c r="F94" s="24">
        <f ca="1">YEAR(TODAY())-MID(D94,7,4)</f>
        <v>43</v>
      </c>
      <c r="G94" s="26">
        <v>13524809952</v>
      </c>
      <c r="H94" s="27">
        <v>45257</v>
      </c>
      <c r="I94" s="27"/>
      <c r="J94" s="24"/>
      <c r="K94" s="24" t="s">
        <v>115</v>
      </c>
      <c r="L94" s="25" t="str">
        <f ca="1" t="shared" si="12"/>
        <v>2年4个月</v>
      </c>
      <c r="M94" s="25" t="s">
        <v>154</v>
      </c>
      <c r="N94" s="24"/>
      <c r="O94" s="24"/>
      <c r="P94" s="24"/>
      <c r="Q94" s="24"/>
      <c r="R94" s="24"/>
      <c r="S94" s="24"/>
      <c r="IV94" s="1"/>
    </row>
    <row r="95" s="3" customFormat="1" ht="15" customHeight="1" spans="1:256">
      <c r="A95" s="24">
        <v>93</v>
      </c>
      <c r="B95" s="24"/>
      <c r="C95" s="24" t="s">
        <v>270</v>
      </c>
      <c r="D95" s="24" t="s">
        <v>271</v>
      </c>
      <c r="E95" s="24" t="s">
        <v>152</v>
      </c>
      <c r="F95" s="24">
        <v>37</v>
      </c>
      <c r="G95" s="26">
        <v>18068883960</v>
      </c>
      <c r="H95" s="27">
        <v>45229</v>
      </c>
      <c r="I95" s="27"/>
      <c r="J95" s="24"/>
      <c r="K95" s="25" t="s">
        <v>100</v>
      </c>
      <c r="L95" s="25" t="str">
        <f ca="1" t="shared" si="12"/>
        <v>2年5个月</v>
      </c>
      <c r="M95" s="36">
        <v>45260</v>
      </c>
      <c r="N95" s="24"/>
      <c r="O95" s="24" t="s">
        <v>272</v>
      </c>
      <c r="P95" s="29" t="s">
        <v>101</v>
      </c>
      <c r="Q95" s="24"/>
      <c r="R95" s="24"/>
      <c r="S95" s="24"/>
      <c r="IV95" s="1"/>
    </row>
    <row r="96" s="3" customFormat="1" ht="15" customHeight="1" spans="1:256">
      <c r="A96" s="24">
        <v>94</v>
      </c>
      <c r="B96" s="24"/>
      <c r="C96" s="24" t="s">
        <v>273</v>
      </c>
      <c r="D96" s="209" t="s">
        <v>274</v>
      </c>
      <c r="E96" s="24" t="s">
        <v>152</v>
      </c>
      <c r="F96" s="24">
        <v>39</v>
      </c>
      <c r="G96" s="26">
        <v>13814357273</v>
      </c>
      <c r="H96" s="27">
        <f ca="1">TODAY()</f>
        <v>46125</v>
      </c>
      <c r="I96" s="33"/>
      <c r="J96" s="33"/>
      <c r="K96" s="24"/>
      <c r="L96" s="25" t="str">
        <f ca="1" t="shared" si="12"/>
        <v>0年0个月</v>
      </c>
      <c r="M96" s="25" t="s">
        <v>154</v>
      </c>
      <c r="N96" s="24"/>
      <c r="O96" s="24"/>
      <c r="P96" s="24"/>
      <c r="Q96" s="24"/>
      <c r="R96" s="24"/>
      <c r="S96" s="24"/>
      <c r="IV96" s="1"/>
    </row>
    <row r="97" s="3" customFormat="1" ht="15" customHeight="1" spans="1:256">
      <c r="A97" s="24">
        <v>95</v>
      </c>
      <c r="B97" s="24"/>
      <c r="C97" s="25" t="s">
        <v>275</v>
      </c>
      <c r="D97" s="205" t="s">
        <v>276</v>
      </c>
      <c r="E97" s="25" t="str">
        <f t="shared" ref="E97:E102" si="13">IF(MOD(MID(D97,17,1),2),"男","女")</f>
        <v>女</v>
      </c>
      <c r="F97" s="24">
        <f ca="1" t="shared" ref="F97:F102" si="14">YEAR(NOW())-MID(D97,7,4)</f>
        <v>33</v>
      </c>
      <c r="G97" s="26">
        <v>17802685106</v>
      </c>
      <c r="H97" s="27">
        <v>43976</v>
      </c>
      <c r="I97" s="27"/>
      <c r="J97" s="25" t="s">
        <v>65</v>
      </c>
      <c r="K97" s="25" t="s">
        <v>277</v>
      </c>
      <c r="L97" s="25" t="str">
        <f ca="1" t="shared" si="12"/>
        <v>5年10个月</v>
      </c>
      <c r="M97" s="25" t="s">
        <v>154</v>
      </c>
      <c r="N97" s="24"/>
      <c r="O97" s="24"/>
      <c r="P97" s="37">
        <v>45193</v>
      </c>
      <c r="Q97" s="24"/>
      <c r="R97" s="24"/>
      <c r="S97" s="24"/>
      <c r="IV97" s="1"/>
    </row>
    <row r="98" s="3" customFormat="1" ht="15" customHeight="1" spans="1:256">
      <c r="A98" s="24">
        <v>96</v>
      </c>
      <c r="B98" s="24"/>
      <c r="C98" s="25" t="s">
        <v>278</v>
      </c>
      <c r="D98" s="205" t="s">
        <v>279</v>
      </c>
      <c r="E98" s="25" t="str">
        <f t="shared" si="13"/>
        <v>男</v>
      </c>
      <c r="F98" s="24">
        <f ca="1" t="shared" si="14"/>
        <v>48</v>
      </c>
      <c r="G98" s="26">
        <v>19952934972</v>
      </c>
      <c r="H98" s="27">
        <v>45134</v>
      </c>
      <c r="I98" s="27"/>
      <c r="J98" s="25" t="s">
        <v>25</v>
      </c>
      <c r="K98" s="25" t="s">
        <v>26</v>
      </c>
      <c r="L98" s="25" t="str">
        <f ca="1" t="shared" si="12"/>
        <v>2年8个月</v>
      </c>
      <c r="M98" s="25" t="s">
        <v>154</v>
      </c>
      <c r="N98" s="24"/>
      <c r="O98" s="24" t="s">
        <v>280</v>
      </c>
      <c r="P98" s="29" t="s">
        <v>101</v>
      </c>
      <c r="Q98" s="29" t="s">
        <v>102</v>
      </c>
      <c r="R98" s="24"/>
      <c r="S98" s="24"/>
      <c r="IV98" s="1"/>
    </row>
    <row r="99" s="3" customFormat="1" ht="15" customHeight="1" spans="1:256">
      <c r="A99" s="24">
        <v>97</v>
      </c>
      <c r="B99" s="24"/>
      <c r="C99" s="24" t="s">
        <v>281</v>
      </c>
      <c r="D99" s="209" t="s">
        <v>282</v>
      </c>
      <c r="E99" s="24" t="s">
        <v>158</v>
      </c>
      <c r="F99" s="24">
        <v>40</v>
      </c>
      <c r="G99" s="26">
        <v>15895192288</v>
      </c>
      <c r="H99" s="27">
        <v>45251</v>
      </c>
      <c r="I99" s="27"/>
      <c r="J99" s="24"/>
      <c r="K99" s="24" t="s">
        <v>123</v>
      </c>
      <c r="L99" s="25" t="str">
        <f ca="1" t="shared" si="12"/>
        <v>2年4个月</v>
      </c>
      <c r="M99" s="25" t="s">
        <v>154</v>
      </c>
      <c r="N99" s="24"/>
      <c r="O99" s="24"/>
      <c r="P99" s="24"/>
      <c r="Q99" s="24"/>
      <c r="R99" s="24"/>
      <c r="S99" s="24"/>
      <c r="IV99" s="1"/>
    </row>
    <row r="100" s="3" customFormat="1" ht="15" customHeight="1" spans="1:256">
      <c r="A100" s="24">
        <v>98</v>
      </c>
      <c r="B100" s="24"/>
      <c r="C100" s="24" t="s">
        <v>283</v>
      </c>
      <c r="D100" s="209" t="s">
        <v>284</v>
      </c>
      <c r="E100" s="24" t="s">
        <v>158</v>
      </c>
      <c r="F100" s="24">
        <v>48</v>
      </c>
      <c r="G100" s="26">
        <v>13912534539</v>
      </c>
      <c r="H100" s="27">
        <v>45243</v>
      </c>
      <c r="I100" s="27"/>
      <c r="J100" s="24" t="s">
        <v>285</v>
      </c>
      <c r="K100" s="25" t="s">
        <v>100</v>
      </c>
      <c r="L100" s="25" t="str">
        <f ca="1" t="shared" si="12"/>
        <v>2年5个月</v>
      </c>
      <c r="M100" s="25" t="s">
        <v>154</v>
      </c>
      <c r="N100" s="33"/>
      <c r="O100" s="38">
        <v>45268</v>
      </c>
      <c r="P100" s="24"/>
      <c r="Q100" s="24"/>
      <c r="R100" s="24"/>
      <c r="S100" s="24"/>
      <c r="IV100" s="1"/>
    </row>
    <row r="101" s="3" customFormat="1" ht="15" customHeight="1" spans="1:256">
      <c r="A101" s="24">
        <v>99</v>
      </c>
      <c r="B101" s="24"/>
      <c r="C101" s="24" t="s">
        <v>286</v>
      </c>
      <c r="D101" s="209" t="s">
        <v>287</v>
      </c>
      <c r="E101" s="25" t="s">
        <v>152</v>
      </c>
      <c r="F101" s="24">
        <f ca="1" t="shared" si="14"/>
        <v>45</v>
      </c>
      <c r="G101" s="26">
        <v>13182151011</v>
      </c>
      <c r="H101" s="27">
        <v>45225</v>
      </c>
      <c r="I101" s="27"/>
      <c r="J101" s="24"/>
      <c r="K101" s="25" t="s">
        <v>100</v>
      </c>
      <c r="L101" s="25" t="str">
        <f ca="1" t="shared" si="12"/>
        <v>2年5个月</v>
      </c>
      <c r="M101" s="25" t="s">
        <v>154</v>
      </c>
      <c r="N101" s="24"/>
      <c r="O101" s="37">
        <v>45267</v>
      </c>
      <c r="P101" s="24"/>
      <c r="Q101" s="24"/>
      <c r="R101" s="24"/>
      <c r="S101" s="24"/>
      <c r="IV101" s="1"/>
    </row>
    <row r="102" s="1" customFormat="1" spans="1:256">
      <c r="A102" s="24">
        <v>100</v>
      </c>
      <c r="B102" s="25" t="s">
        <v>288</v>
      </c>
      <c r="C102" s="25" t="s">
        <v>182</v>
      </c>
      <c r="D102" s="205" t="s">
        <v>183</v>
      </c>
      <c r="E102" s="25" t="str">
        <f t="shared" si="13"/>
        <v>女</v>
      </c>
      <c r="F102" s="24">
        <f ca="1" t="shared" si="14"/>
        <v>55</v>
      </c>
      <c r="G102" s="26">
        <v>15895155820</v>
      </c>
      <c r="H102" s="27">
        <v>45146</v>
      </c>
      <c r="I102" s="27"/>
      <c r="J102" s="25" t="s">
        <v>22</v>
      </c>
      <c r="K102" s="25" t="s">
        <v>100</v>
      </c>
      <c r="L102" s="25" t="str">
        <f ca="1" t="shared" si="12"/>
        <v>2年8个月</v>
      </c>
      <c r="M102" s="25" t="s">
        <v>154</v>
      </c>
      <c r="N102" s="33"/>
      <c r="O102" s="33"/>
      <c r="P102" s="24"/>
      <c r="Q102" s="24"/>
      <c r="R102" s="24"/>
      <c r="S102" s="24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3"/>
      <c r="IM102" s="3"/>
      <c r="IN102" s="3"/>
      <c r="IO102" s="3"/>
      <c r="IP102" s="3"/>
      <c r="IQ102" s="3"/>
      <c r="IR102" s="3"/>
      <c r="IS102" s="3"/>
      <c r="IT102" s="3"/>
      <c r="IU102" s="3"/>
    </row>
    <row r="103" s="1" customFormat="1" spans="1:256">
      <c r="A103" s="24">
        <v>101</v>
      </c>
      <c r="B103" s="25" t="s">
        <v>133</v>
      </c>
      <c r="C103" s="24" t="s">
        <v>289</v>
      </c>
      <c r="D103" s="209" t="s">
        <v>290</v>
      </c>
      <c r="E103" s="24" t="s">
        <v>158</v>
      </c>
      <c r="F103" s="24">
        <v>38</v>
      </c>
      <c r="G103" s="26">
        <v>15295353773</v>
      </c>
      <c r="H103" s="27">
        <v>45262</v>
      </c>
      <c r="I103" s="27"/>
      <c r="J103" s="24"/>
      <c r="K103" s="24" t="s">
        <v>254</v>
      </c>
      <c r="L103" s="25" t="str">
        <f ca="1" t="shared" si="12"/>
        <v>2年4个月</v>
      </c>
      <c r="M103" s="25" t="s">
        <v>154</v>
      </c>
      <c r="N103" s="24"/>
      <c r="O103" s="24"/>
      <c r="P103" s="24"/>
      <c r="Q103" s="24"/>
      <c r="R103" s="24"/>
      <c r="S103" s="24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3"/>
      <c r="IM103" s="3"/>
      <c r="IN103" s="3"/>
      <c r="IO103" s="3"/>
      <c r="IP103" s="3"/>
      <c r="IQ103" s="3"/>
      <c r="IR103" s="3"/>
      <c r="IS103" s="3"/>
      <c r="IT103" s="3"/>
      <c r="IU103" s="3"/>
    </row>
    <row r="104" s="3" customFormat="1" ht="15" customHeight="1" spans="1:256">
      <c r="A104" s="24">
        <v>102</v>
      </c>
      <c r="B104" s="25" t="s">
        <v>136</v>
      </c>
      <c r="C104" s="24" t="s">
        <v>291</v>
      </c>
      <c r="D104" s="209" t="s">
        <v>292</v>
      </c>
      <c r="E104" s="24" t="s">
        <v>152</v>
      </c>
      <c r="F104" s="24">
        <f ca="1" t="shared" ref="F104:F112" si="15">YEAR(NOW())-MID(D104,7,4)</f>
        <v>35</v>
      </c>
      <c r="G104" s="26">
        <v>18036282506</v>
      </c>
      <c r="H104" s="27">
        <v>45268</v>
      </c>
      <c r="I104" s="27"/>
      <c r="J104" s="24"/>
      <c r="K104" s="24" t="s">
        <v>293</v>
      </c>
      <c r="L104" s="25" t="str">
        <f ca="1" t="shared" si="12"/>
        <v>2年4个月</v>
      </c>
      <c r="M104" s="25" t="s">
        <v>154</v>
      </c>
      <c r="N104" s="24"/>
      <c r="O104" s="24"/>
      <c r="P104" s="24"/>
      <c r="Q104" s="24"/>
      <c r="R104" s="24"/>
      <c r="S104" s="24"/>
      <c r="IV104" s="1"/>
    </row>
    <row r="105" s="1" customFormat="1" spans="1:256">
      <c r="A105" s="24">
        <v>103</v>
      </c>
      <c r="B105" s="25" t="s">
        <v>294</v>
      </c>
      <c r="C105" s="24" t="s">
        <v>295</v>
      </c>
      <c r="D105" s="209" t="s">
        <v>296</v>
      </c>
      <c r="E105" s="24" t="s">
        <v>152</v>
      </c>
      <c r="F105" s="24">
        <v>47</v>
      </c>
      <c r="G105" s="26">
        <v>15298574447</v>
      </c>
      <c r="H105" s="27">
        <v>45271</v>
      </c>
      <c r="I105" s="24"/>
      <c r="J105" s="24"/>
      <c r="K105" s="24" t="s">
        <v>100</v>
      </c>
      <c r="L105" s="25" t="s">
        <v>153</v>
      </c>
      <c r="M105" s="25" t="s">
        <v>154</v>
      </c>
      <c r="N105" s="24"/>
      <c r="O105" s="37">
        <v>45272</v>
      </c>
      <c r="P105" s="24"/>
      <c r="Q105" s="24"/>
      <c r="R105" s="24"/>
      <c r="S105" s="24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3"/>
      <c r="IG105" s="3"/>
      <c r="IH105" s="3"/>
      <c r="II105" s="3"/>
      <c r="IJ105" s="3"/>
      <c r="IK105" s="3"/>
      <c r="IL105" s="3"/>
      <c r="IM105" s="3"/>
      <c r="IN105" s="3"/>
      <c r="IO105" s="3"/>
      <c r="IP105" s="3"/>
      <c r="IQ105" s="3"/>
      <c r="IR105" s="3"/>
      <c r="IS105" s="3"/>
      <c r="IT105" s="3"/>
    </row>
    <row r="106" s="1" customFormat="1" ht="15" customHeight="1" spans="1:256">
      <c r="A106" s="24">
        <v>104</v>
      </c>
      <c r="B106" s="25" t="s">
        <v>297</v>
      </c>
      <c r="C106" s="25" t="s">
        <v>298</v>
      </c>
      <c r="D106" s="205" t="s">
        <v>299</v>
      </c>
      <c r="E106" s="25" t="str">
        <f t="shared" ref="E106:E108" si="16">IF(MOD(MID(D106,17,1),2),"男","女")</f>
        <v>女</v>
      </c>
      <c r="F106" s="24">
        <f ca="1" t="shared" si="15"/>
        <v>42</v>
      </c>
      <c r="G106" s="26">
        <v>18262366252</v>
      </c>
      <c r="H106" s="27">
        <v>45142</v>
      </c>
      <c r="I106" s="27"/>
      <c r="J106" s="25" t="s">
        <v>22</v>
      </c>
      <c r="K106" s="25" t="s">
        <v>180</v>
      </c>
      <c r="L106" s="25" t="str">
        <f ca="1" t="shared" ref="L106:L108" si="17">DATEDIF(H106,TODAY(),"Y")&amp;"年"&amp;DATEDIF(H106,TODAY(),"YM")&amp;"个月"</f>
        <v>2年8个月</v>
      </c>
      <c r="M106" s="25" t="s">
        <v>154</v>
      </c>
      <c r="N106" s="24"/>
      <c r="O106" s="37">
        <v>45269</v>
      </c>
      <c r="P106" s="29" t="s">
        <v>101</v>
      </c>
      <c r="Q106" s="25" t="s">
        <v>111</v>
      </c>
      <c r="R106" s="24"/>
      <c r="S106" s="24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  <c r="II106" s="3"/>
      <c r="IJ106" s="3"/>
      <c r="IK106" s="3"/>
      <c r="IL106" s="3"/>
      <c r="IM106" s="3"/>
      <c r="IN106" s="3"/>
      <c r="IO106" s="3"/>
      <c r="IP106" s="3"/>
      <c r="IQ106" s="3"/>
      <c r="IR106" s="3"/>
      <c r="IS106" s="3"/>
      <c r="IT106" s="3"/>
      <c r="IU106" s="3"/>
    </row>
    <row r="107" s="1" customFormat="1" ht="15" customHeight="1" spans="1:256">
      <c r="A107" s="24">
        <v>105</v>
      </c>
      <c r="B107" s="25" t="s">
        <v>300</v>
      </c>
      <c r="C107" s="24" t="s">
        <v>301</v>
      </c>
      <c r="D107" s="205" t="s">
        <v>302</v>
      </c>
      <c r="E107" s="25" t="str">
        <f t="shared" si="16"/>
        <v>女</v>
      </c>
      <c r="F107" s="24">
        <f ca="1" t="shared" si="15"/>
        <v>55</v>
      </c>
      <c r="G107" s="26">
        <v>13962049512</v>
      </c>
      <c r="H107" s="27">
        <v>43960</v>
      </c>
      <c r="I107" s="27"/>
      <c r="J107" s="25" t="s">
        <v>22</v>
      </c>
      <c r="K107" s="25" t="s">
        <v>100</v>
      </c>
      <c r="L107" s="25" t="str">
        <f ca="1" t="shared" si="17"/>
        <v>5年11个月</v>
      </c>
      <c r="M107" s="25" t="s">
        <v>154</v>
      </c>
      <c r="N107" s="24"/>
      <c r="O107" s="24" t="s">
        <v>303</v>
      </c>
      <c r="P107" s="25" t="s">
        <v>249</v>
      </c>
      <c r="Q107" s="29" t="s">
        <v>102</v>
      </c>
      <c r="R107" s="24"/>
      <c r="S107" s="24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  <c r="IA107" s="3"/>
      <c r="IB107" s="3"/>
      <c r="IC107" s="3"/>
      <c r="ID107" s="3"/>
      <c r="IE107" s="3"/>
      <c r="IF107" s="3"/>
      <c r="IG107" s="3"/>
      <c r="IH107" s="3"/>
      <c r="II107" s="3"/>
      <c r="IJ107" s="3"/>
      <c r="IK107" s="3"/>
      <c r="IL107" s="3"/>
      <c r="IM107" s="3"/>
      <c r="IN107" s="3"/>
      <c r="IO107" s="3"/>
      <c r="IP107" s="3"/>
      <c r="IQ107" s="3"/>
      <c r="IR107" s="3"/>
      <c r="IS107" s="3"/>
      <c r="IT107" s="3"/>
      <c r="IU107" s="3"/>
    </row>
    <row r="108" s="3" customFormat="1" ht="15" customHeight="1" spans="1:256">
      <c r="A108" s="24">
        <v>106</v>
      </c>
      <c r="B108" s="25" t="s">
        <v>304</v>
      </c>
      <c r="C108" s="25" t="s">
        <v>305</v>
      </c>
      <c r="D108" s="205" t="s">
        <v>306</v>
      </c>
      <c r="E108" s="25" t="str">
        <f t="shared" si="16"/>
        <v>女</v>
      </c>
      <c r="F108" s="24">
        <f ca="1" t="shared" si="15"/>
        <v>57</v>
      </c>
      <c r="G108" s="26">
        <v>18796556886</v>
      </c>
      <c r="H108" s="27">
        <v>45143</v>
      </c>
      <c r="I108" s="27"/>
      <c r="J108" s="25" t="s">
        <v>22</v>
      </c>
      <c r="K108" s="25" t="s">
        <v>307</v>
      </c>
      <c r="L108" s="25" t="str">
        <f ca="1" t="shared" si="17"/>
        <v>2年8个月</v>
      </c>
      <c r="M108" s="25" t="s">
        <v>154</v>
      </c>
      <c r="N108" s="24"/>
      <c r="O108" s="24"/>
      <c r="P108" s="25" t="s">
        <v>249</v>
      </c>
      <c r="Q108" s="24"/>
      <c r="R108" s="24"/>
      <c r="S108" s="24"/>
      <c r="IV108" s="1"/>
    </row>
    <row r="109" s="1" customFormat="1" spans="1:256">
      <c r="A109" s="24">
        <v>107</v>
      </c>
      <c r="B109" s="25" t="s">
        <v>145</v>
      </c>
      <c r="C109" s="24" t="s">
        <v>308</v>
      </c>
      <c r="D109" s="209" t="s">
        <v>309</v>
      </c>
      <c r="E109" s="24" t="s">
        <v>152</v>
      </c>
      <c r="F109" s="24">
        <f ca="1" t="shared" si="15"/>
        <v>48</v>
      </c>
      <c r="G109" s="26">
        <v>13851146430</v>
      </c>
      <c r="H109" s="37">
        <v>41615</v>
      </c>
      <c r="I109" s="24"/>
      <c r="J109" s="24"/>
      <c r="K109" s="24" t="s">
        <v>100</v>
      </c>
      <c r="L109" s="25" t="s">
        <v>153</v>
      </c>
      <c r="M109" s="25" t="s">
        <v>154</v>
      </c>
      <c r="N109" s="24"/>
      <c r="O109" s="37">
        <v>45272</v>
      </c>
      <c r="P109" s="24"/>
      <c r="Q109" s="24"/>
      <c r="R109" s="24"/>
      <c r="S109" s="24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/>
      <c r="ID109" s="3"/>
      <c r="IE109" s="3"/>
      <c r="IF109" s="3"/>
      <c r="IG109" s="3"/>
      <c r="IH109" s="3"/>
      <c r="II109" s="3"/>
      <c r="IJ109" s="3"/>
      <c r="IK109" s="3"/>
      <c r="IL109" s="3"/>
      <c r="IM109" s="3"/>
      <c r="IN109" s="3"/>
      <c r="IO109" s="3"/>
      <c r="IP109" s="3"/>
      <c r="IQ109" s="3"/>
      <c r="IR109" s="3"/>
      <c r="IS109" s="3"/>
      <c r="IT109" s="3"/>
    </row>
    <row r="110" s="1" customFormat="1" ht="15" customHeight="1" spans="1:256">
      <c r="A110" s="24">
        <v>108</v>
      </c>
      <c r="B110" s="25" t="s">
        <v>97</v>
      </c>
      <c r="C110" s="25" t="s">
        <v>310</v>
      </c>
      <c r="D110" s="205" t="s">
        <v>311</v>
      </c>
      <c r="E110" s="25" t="s">
        <v>158</v>
      </c>
      <c r="F110" s="24">
        <f ca="1" t="shared" si="15"/>
        <v>36</v>
      </c>
      <c r="G110" s="26">
        <v>17798799215</v>
      </c>
      <c r="H110" s="27">
        <v>41542</v>
      </c>
      <c r="I110" s="27"/>
      <c r="J110" s="24"/>
      <c r="K110" s="24" t="s">
        <v>312</v>
      </c>
      <c r="L110" s="25" t="str">
        <f ca="1" t="shared" ref="L110:L124" si="18">DATEDIF(H110,TODAY(),"Y")&amp;"年"&amp;DATEDIF(H110,TODAY(),"YM")&amp;"个月"</f>
        <v>12年6个月</v>
      </c>
      <c r="M110" s="25" t="s">
        <v>154</v>
      </c>
      <c r="N110" s="37">
        <v>45273</v>
      </c>
      <c r="O110" s="24" t="s">
        <v>313</v>
      </c>
      <c r="P110" s="29" t="s">
        <v>101</v>
      </c>
      <c r="Q110" s="24"/>
      <c r="R110" s="24"/>
      <c r="S110" s="24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3"/>
      <c r="IK110" s="3"/>
      <c r="IL110" s="3"/>
      <c r="IM110" s="3"/>
      <c r="IN110" s="3"/>
      <c r="IO110" s="3"/>
      <c r="IP110" s="3"/>
      <c r="IQ110" s="3"/>
      <c r="IR110" s="3"/>
      <c r="IS110" s="3"/>
      <c r="IT110" s="3"/>
      <c r="IU110" s="3"/>
    </row>
    <row r="111" s="3" customFormat="1" ht="15" customHeight="1" spans="1:256">
      <c r="A111" s="24">
        <v>109</v>
      </c>
      <c r="B111" s="24"/>
      <c r="C111" s="24" t="s">
        <v>314</v>
      </c>
      <c r="D111" s="209" t="s">
        <v>315</v>
      </c>
      <c r="E111" s="24" t="s">
        <v>158</v>
      </c>
      <c r="F111" s="24">
        <f ca="1" t="shared" si="15"/>
        <v>36</v>
      </c>
      <c r="G111" s="26">
        <v>13357990763</v>
      </c>
      <c r="H111" s="27">
        <v>45274</v>
      </c>
      <c r="I111" s="24"/>
      <c r="J111" s="24" t="s">
        <v>22</v>
      </c>
      <c r="K111" s="24" t="s">
        <v>316</v>
      </c>
      <c r="L111" s="25" t="str">
        <f ca="1" t="shared" si="18"/>
        <v>2年3个月</v>
      </c>
      <c r="M111" s="25" t="s">
        <v>154</v>
      </c>
      <c r="N111" s="24"/>
      <c r="O111" s="24"/>
      <c r="P111" s="24"/>
      <c r="Q111" s="24"/>
      <c r="R111" s="24"/>
      <c r="S111" s="24"/>
      <c r="IV111" s="1"/>
    </row>
    <row r="112" s="1" customFormat="1" spans="1:256">
      <c r="A112" s="24">
        <v>110</v>
      </c>
      <c r="B112" s="25" t="s">
        <v>97</v>
      </c>
      <c r="C112" s="24" t="s">
        <v>317</v>
      </c>
      <c r="D112" s="209" t="s">
        <v>318</v>
      </c>
      <c r="E112" s="24" t="s">
        <v>152</v>
      </c>
      <c r="F112" s="24">
        <f ca="1" t="shared" si="15"/>
        <v>39</v>
      </c>
      <c r="G112" s="26">
        <v>18752235067</v>
      </c>
      <c r="H112" s="27">
        <v>45271</v>
      </c>
      <c r="I112" s="24"/>
      <c r="J112" s="24"/>
      <c r="K112" s="24" t="s">
        <v>100</v>
      </c>
      <c r="L112" s="25" t="str">
        <f ca="1" t="shared" si="18"/>
        <v>2年4个月</v>
      </c>
      <c r="M112" s="25" t="s">
        <v>154</v>
      </c>
      <c r="N112" s="24"/>
      <c r="O112" s="24"/>
      <c r="P112" s="24"/>
      <c r="Q112" s="24"/>
      <c r="R112" s="24"/>
      <c r="S112" s="24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  <c r="IT112" s="3"/>
    </row>
    <row r="113" s="1" customFormat="1" ht="15" customHeight="1" spans="1:256">
      <c r="A113" s="24">
        <v>111</v>
      </c>
      <c r="B113" s="25" t="s">
        <v>319</v>
      </c>
      <c r="C113" s="24" t="s">
        <v>320</v>
      </c>
      <c r="D113" s="209" t="s">
        <v>321</v>
      </c>
      <c r="E113" s="24" t="s">
        <v>152</v>
      </c>
      <c r="F113" s="24">
        <v>42</v>
      </c>
      <c r="G113" s="26">
        <v>13357991700</v>
      </c>
      <c r="H113" s="27">
        <v>45278</v>
      </c>
      <c r="I113" s="24"/>
      <c r="J113" s="24" t="s">
        <v>22</v>
      </c>
      <c r="K113" s="24" t="s">
        <v>322</v>
      </c>
      <c r="L113" s="25" t="str">
        <f ca="1" t="shared" si="18"/>
        <v>2年3个月</v>
      </c>
      <c r="M113" s="25" t="s">
        <v>154</v>
      </c>
      <c r="N113" s="24"/>
      <c r="O113" s="24"/>
      <c r="P113" s="24"/>
      <c r="Q113" s="24"/>
      <c r="R113" s="24"/>
      <c r="S113" s="24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</row>
    <row r="114" s="1" customFormat="1" spans="1:256">
      <c r="A114" s="24">
        <v>112</v>
      </c>
      <c r="B114" s="25" t="s">
        <v>177</v>
      </c>
      <c r="C114" s="24" t="s">
        <v>323</v>
      </c>
      <c r="D114" s="209" t="s">
        <v>324</v>
      </c>
      <c r="E114" s="24" t="s">
        <v>152</v>
      </c>
      <c r="F114" s="24">
        <f ca="1" t="shared" ref="F114:F121" si="19">YEAR(NOW())-MID(D114,7,4)</f>
        <v>63</v>
      </c>
      <c r="G114" s="26">
        <v>15501397348</v>
      </c>
      <c r="H114" s="27">
        <v>45276</v>
      </c>
      <c r="I114" s="24"/>
      <c r="J114" s="24" t="s">
        <v>22</v>
      </c>
      <c r="K114" s="24" t="s">
        <v>322</v>
      </c>
      <c r="L114" s="25" t="str">
        <f ca="1" t="shared" si="18"/>
        <v>2年3个月</v>
      </c>
      <c r="M114" s="25" t="s">
        <v>154</v>
      </c>
      <c r="N114" s="24"/>
      <c r="O114" s="24"/>
      <c r="P114" s="24"/>
      <c r="Q114" s="24"/>
      <c r="R114" s="24"/>
      <c r="S114" s="24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/>
      <c r="IG114" s="3"/>
      <c r="IH114" s="3"/>
      <c r="II114" s="3"/>
      <c r="IJ114" s="3"/>
      <c r="IK114" s="3"/>
      <c r="IL114" s="3"/>
      <c r="IM114" s="3"/>
      <c r="IN114" s="3"/>
      <c r="IO114" s="3"/>
      <c r="IP114" s="3"/>
      <c r="IQ114" s="3"/>
      <c r="IR114" s="3"/>
      <c r="IS114" s="3"/>
      <c r="IT114" s="3"/>
    </row>
    <row r="115" s="1" customFormat="1" spans="1:256">
      <c r="A115" s="24">
        <v>113</v>
      </c>
      <c r="B115" s="25" t="s">
        <v>112</v>
      </c>
      <c r="C115" s="24" t="s">
        <v>325</v>
      </c>
      <c r="D115" s="209" t="s">
        <v>326</v>
      </c>
      <c r="E115" s="24" t="s">
        <v>152</v>
      </c>
      <c r="F115" s="24">
        <f ca="1" t="shared" si="19"/>
        <v>47</v>
      </c>
      <c r="G115" s="26">
        <v>17851620730</v>
      </c>
      <c r="H115" s="27" t="s">
        <v>327</v>
      </c>
      <c r="I115" s="24"/>
      <c r="J115" s="24" t="s">
        <v>22</v>
      </c>
      <c r="K115" s="25" t="s">
        <v>100</v>
      </c>
      <c r="L115" s="25" t="e">
        <f ca="1" t="shared" si="18"/>
        <v>#VALUE!</v>
      </c>
      <c r="M115" s="25" t="s">
        <v>154</v>
      </c>
      <c r="N115" s="24"/>
      <c r="O115" s="24"/>
      <c r="P115" s="24"/>
      <c r="Q115" s="24"/>
      <c r="R115" s="24"/>
      <c r="S115" s="24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  <c r="IA115" s="3"/>
      <c r="IB115" s="3"/>
      <c r="IC115" s="3"/>
      <c r="ID115" s="3"/>
      <c r="IE115" s="3"/>
      <c r="IF115" s="3"/>
      <c r="IG115" s="3"/>
      <c r="IH115" s="3"/>
      <c r="II115" s="3"/>
      <c r="IJ115" s="3"/>
      <c r="IK115" s="3"/>
      <c r="IL115" s="3"/>
      <c r="IM115" s="3"/>
      <c r="IN115" s="3"/>
      <c r="IO115" s="3"/>
      <c r="IP115" s="3"/>
      <c r="IQ115" s="3"/>
      <c r="IR115" s="3"/>
      <c r="IS115" s="3"/>
      <c r="IT115" s="3"/>
    </row>
    <row r="116" s="1" customFormat="1" spans="1:256">
      <c r="A116" s="24">
        <v>114</v>
      </c>
      <c r="B116" s="25" t="s">
        <v>103</v>
      </c>
      <c r="C116" s="24" t="s">
        <v>328</v>
      </c>
      <c r="D116" s="24" t="s">
        <v>329</v>
      </c>
      <c r="E116" s="24" t="s">
        <v>152</v>
      </c>
      <c r="F116" s="24">
        <f ca="1" t="shared" si="19"/>
        <v>24</v>
      </c>
      <c r="G116" s="26">
        <v>15358237660</v>
      </c>
      <c r="H116" s="27">
        <v>45273</v>
      </c>
      <c r="I116" s="24"/>
      <c r="J116" s="24" t="s">
        <v>22</v>
      </c>
      <c r="K116" s="24" t="s">
        <v>316</v>
      </c>
      <c r="L116" s="25" t="str">
        <f ca="1" t="shared" si="18"/>
        <v>2年4个月</v>
      </c>
      <c r="M116" s="25" t="s">
        <v>154</v>
      </c>
      <c r="N116" s="24" t="s">
        <v>330</v>
      </c>
      <c r="O116" s="24"/>
      <c r="P116" s="24"/>
      <c r="Q116" s="24"/>
      <c r="R116" s="24"/>
      <c r="S116" s="24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  <c r="IA116" s="3"/>
      <c r="IB116" s="3"/>
      <c r="IC116" s="3"/>
      <c r="ID116" s="3"/>
      <c r="IE116" s="3"/>
      <c r="IF116" s="3"/>
      <c r="IG116" s="3"/>
      <c r="IH116" s="3"/>
      <c r="II116" s="3"/>
      <c r="IJ116" s="3"/>
      <c r="IK116" s="3"/>
      <c r="IL116" s="3"/>
      <c r="IM116" s="3"/>
      <c r="IN116" s="3"/>
      <c r="IO116" s="3"/>
      <c r="IP116" s="3"/>
      <c r="IQ116" s="3"/>
      <c r="IR116" s="3"/>
      <c r="IS116" s="3"/>
      <c r="IT116" s="3"/>
    </row>
    <row r="117" s="3" customFormat="1" ht="15" customHeight="1" spans="1:256">
      <c r="A117" s="24">
        <v>115</v>
      </c>
      <c r="B117" s="25" t="s">
        <v>177</v>
      </c>
      <c r="C117" s="24" t="s">
        <v>331</v>
      </c>
      <c r="D117" s="209" t="s">
        <v>332</v>
      </c>
      <c r="E117" s="24" t="s">
        <v>152</v>
      </c>
      <c r="F117" s="24">
        <f ca="1" t="shared" si="19"/>
        <v>37</v>
      </c>
      <c r="G117" s="26">
        <v>18862053208</v>
      </c>
      <c r="H117" s="37">
        <v>45285</v>
      </c>
      <c r="I117" s="24"/>
      <c r="J117" s="24" t="s">
        <v>333</v>
      </c>
      <c r="K117" s="24" t="s">
        <v>333</v>
      </c>
      <c r="L117" s="25" t="str">
        <f ca="1" t="shared" si="18"/>
        <v>2年3个月</v>
      </c>
      <c r="M117" s="25" t="s">
        <v>154</v>
      </c>
      <c r="N117" s="24" t="s">
        <v>334</v>
      </c>
      <c r="O117" s="24"/>
      <c r="P117" s="24"/>
      <c r="Q117" s="24"/>
      <c r="R117" s="24"/>
      <c r="S117" s="24"/>
      <c r="IV117" s="1"/>
    </row>
    <row r="118" s="1" customFormat="1" spans="1:256">
      <c r="A118" s="24">
        <v>116</v>
      </c>
      <c r="B118" s="25" t="s">
        <v>112</v>
      </c>
      <c r="C118" s="24" t="s">
        <v>335</v>
      </c>
      <c r="D118" s="209" t="s">
        <v>336</v>
      </c>
      <c r="E118" s="24" t="s">
        <v>158</v>
      </c>
      <c r="F118" s="24">
        <f ca="1" t="shared" si="19"/>
        <v>30</v>
      </c>
      <c r="G118" s="26">
        <v>19106216820</v>
      </c>
      <c r="H118" s="37">
        <v>45293</v>
      </c>
      <c r="I118" s="24"/>
      <c r="J118" s="24" t="s">
        <v>22</v>
      </c>
      <c r="K118" s="24" t="s">
        <v>316</v>
      </c>
      <c r="L118" s="25" t="str">
        <f ca="1" t="shared" si="18"/>
        <v>2年3个月</v>
      </c>
      <c r="M118" s="25" t="s">
        <v>154</v>
      </c>
      <c r="N118" s="24" t="s">
        <v>337</v>
      </c>
      <c r="O118" s="24"/>
      <c r="P118" s="24"/>
      <c r="Q118" s="24"/>
      <c r="R118" s="24"/>
      <c r="S118" s="24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R118" s="3"/>
      <c r="HS118" s="3"/>
      <c r="HT118" s="3"/>
      <c r="HU118" s="3"/>
      <c r="HV118" s="3"/>
      <c r="HW118" s="3"/>
      <c r="HX118" s="3"/>
      <c r="HY118" s="3"/>
      <c r="HZ118" s="3"/>
      <c r="IA118" s="3"/>
      <c r="IB118" s="3"/>
      <c r="IC118" s="3"/>
      <c r="ID118" s="3"/>
      <c r="IE118" s="3"/>
      <c r="IF118" s="3"/>
      <c r="IG118" s="3"/>
      <c r="IH118" s="3"/>
      <c r="II118" s="3"/>
      <c r="IJ118" s="3"/>
      <c r="IK118" s="3"/>
      <c r="IL118" s="3"/>
      <c r="IM118" s="3"/>
      <c r="IN118" s="3"/>
      <c r="IO118" s="3"/>
      <c r="IP118" s="3"/>
      <c r="IQ118" s="3"/>
      <c r="IR118" s="3"/>
      <c r="IS118" s="3"/>
    </row>
    <row r="119" s="1" customFormat="1" spans="1:256">
      <c r="A119" s="24">
        <v>117</v>
      </c>
      <c r="B119" s="25" t="s">
        <v>319</v>
      </c>
      <c r="C119" s="24" t="s">
        <v>338</v>
      </c>
      <c r="D119" s="209" t="s">
        <v>339</v>
      </c>
      <c r="E119" s="24" t="s">
        <v>158</v>
      </c>
      <c r="F119" s="24">
        <f ca="1" t="shared" si="19"/>
        <v>41</v>
      </c>
      <c r="G119" s="24">
        <v>19951063608</v>
      </c>
      <c r="H119" s="37">
        <v>45293</v>
      </c>
      <c r="I119" s="33"/>
      <c r="J119" s="33"/>
      <c r="K119" s="24" t="s">
        <v>340</v>
      </c>
      <c r="L119" s="25" t="str">
        <f ca="1" t="shared" si="18"/>
        <v>2年3个月</v>
      </c>
      <c r="M119" s="25" t="s">
        <v>154</v>
      </c>
      <c r="N119" s="24"/>
      <c r="O119" s="24" t="s">
        <v>341</v>
      </c>
      <c r="P119" s="24"/>
      <c r="Q119" s="24"/>
      <c r="R119" s="24"/>
      <c r="S119" s="24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</row>
    <row r="120" s="1" customFormat="1" spans="1:256">
      <c r="A120" s="24">
        <v>118</v>
      </c>
      <c r="B120" s="25" t="s">
        <v>342</v>
      </c>
      <c r="C120" s="24" t="s">
        <v>343</v>
      </c>
      <c r="D120" s="209" t="s">
        <v>344</v>
      </c>
      <c r="E120" s="24" t="s">
        <v>158</v>
      </c>
      <c r="F120" s="24">
        <f ca="1" t="shared" si="19"/>
        <v>51</v>
      </c>
      <c r="G120" s="24">
        <v>15895153785</v>
      </c>
      <c r="H120" s="37">
        <v>45295</v>
      </c>
      <c r="I120" s="33"/>
      <c r="J120" s="33"/>
      <c r="K120" s="24" t="s">
        <v>345</v>
      </c>
      <c r="L120" s="25" t="str">
        <f ca="1" t="shared" si="18"/>
        <v>2年3个月</v>
      </c>
      <c r="M120" s="25" t="s">
        <v>154</v>
      </c>
      <c r="N120" s="24"/>
      <c r="O120" s="24" t="s">
        <v>316</v>
      </c>
      <c r="P120" s="24"/>
      <c r="Q120" s="24"/>
      <c r="R120" s="24"/>
      <c r="S120" s="24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/>
      <c r="IS120" s="3"/>
    </row>
    <row r="121" s="1" customFormat="1" ht="15" customHeight="1" spans="1:256">
      <c r="A121" s="24">
        <v>119</v>
      </c>
      <c r="B121" s="25" t="s">
        <v>124</v>
      </c>
      <c r="C121" s="33" t="s">
        <v>346</v>
      </c>
      <c r="D121" s="209" t="s">
        <v>347</v>
      </c>
      <c r="E121" s="24" t="s">
        <v>152</v>
      </c>
      <c r="F121" s="24">
        <f ca="1" t="shared" si="19"/>
        <v>41</v>
      </c>
      <c r="G121" s="24">
        <v>15295352507</v>
      </c>
      <c r="H121" s="37">
        <v>45295</v>
      </c>
      <c r="I121" s="33"/>
      <c r="J121" s="33"/>
      <c r="K121" s="24" t="s">
        <v>348</v>
      </c>
      <c r="L121" s="25" t="str">
        <f ca="1" t="shared" si="18"/>
        <v>2年3个月</v>
      </c>
      <c r="M121" s="25" t="s">
        <v>154</v>
      </c>
      <c r="N121" s="24" t="s">
        <v>337</v>
      </c>
      <c r="O121" s="24"/>
      <c r="P121" s="24"/>
      <c r="Q121" s="24"/>
      <c r="R121" s="24"/>
      <c r="S121" s="24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</row>
    <row r="122" s="3" customFormat="1" ht="15" customHeight="1" spans="1:256">
      <c r="A122" s="24">
        <v>120</v>
      </c>
      <c r="B122" s="24" t="s">
        <v>116</v>
      </c>
      <c r="C122" s="24" t="s">
        <v>349</v>
      </c>
      <c r="D122" s="209" t="s">
        <v>350</v>
      </c>
      <c r="E122" s="24" t="s">
        <v>158</v>
      </c>
      <c r="F122" s="24">
        <v>52</v>
      </c>
      <c r="G122" s="26">
        <v>13236139782</v>
      </c>
      <c r="H122" s="27">
        <v>45297</v>
      </c>
      <c r="I122" s="27"/>
      <c r="J122" s="24" t="s">
        <v>351</v>
      </c>
      <c r="K122" s="24" t="s">
        <v>345</v>
      </c>
      <c r="L122" s="25" t="str">
        <f ca="1" t="shared" si="18"/>
        <v>2年3个月</v>
      </c>
      <c r="M122" s="25" t="s">
        <v>154</v>
      </c>
      <c r="N122" s="24" t="s">
        <v>337</v>
      </c>
      <c r="O122" s="24"/>
      <c r="P122" s="24"/>
      <c r="Q122" s="24"/>
      <c r="R122" s="24"/>
      <c r="S122" s="24"/>
      <c r="IV122" s="1"/>
    </row>
    <row r="123" s="3" customFormat="1" ht="15" customHeight="1" spans="1:256">
      <c r="A123" s="24">
        <v>121</v>
      </c>
      <c r="B123" s="25" t="s">
        <v>352</v>
      </c>
      <c r="C123" s="25" t="s">
        <v>353</v>
      </c>
      <c r="D123" s="205" t="s">
        <v>354</v>
      </c>
      <c r="E123" s="25" t="str">
        <f>IF(MOD(MID(D123,17,1),2),"男","女")</f>
        <v>女</v>
      </c>
      <c r="F123" s="24">
        <f ca="1" t="shared" ref="F123:F132" si="20">YEAR(NOW())-MID(D123,7,4)</f>
        <v>36</v>
      </c>
      <c r="G123" s="26">
        <v>18762608976</v>
      </c>
      <c r="H123" s="27">
        <v>45024</v>
      </c>
      <c r="I123" s="27"/>
      <c r="J123" s="25" t="s">
        <v>109</v>
      </c>
      <c r="K123" s="25" t="s">
        <v>180</v>
      </c>
      <c r="L123" s="25" t="str">
        <f ca="1" t="shared" si="18"/>
        <v>3年0个月</v>
      </c>
      <c r="M123" s="25" t="s">
        <v>154</v>
      </c>
      <c r="N123" s="24" t="s">
        <v>355</v>
      </c>
      <c r="O123" s="24" t="s">
        <v>303</v>
      </c>
      <c r="P123" s="29" t="s">
        <v>101</v>
      </c>
      <c r="Q123" s="29" t="s">
        <v>102</v>
      </c>
      <c r="R123" s="24"/>
      <c r="S123" s="24"/>
      <c r="IV123" s="1"/>
    </row>
    <row r="124" s="3" customFormat="1" ht="15" customHeight="1" spans="1:256">
      <c r="A124" s="24">
        <v>122</v>
      </c>
      <c r="B124" s="25" t="s">
        <v>116</v>
      </c>
      <c r="C124" s="24" t="s">
        <v>356</v>
      </c>
      <c r="D124" s="209" t="s">
        <v>357</v>
      </c>
      <c r="E124" s="24" t="s">
        <v>152</v>
      </c>
      <c r="F124" s="24">
        <v>36</v>
      </c>
      <c r="G124" s="26">
        <v>18862050812</v>
      </c>
      <c r="H124" s="27">
        <v>45299</v>
      </c>
      <c r="I124" s="27"/>
      <c r="J124" s="24" t="s">
        <v>22</v>
      </c>
      <c r="K124" s="25" t="s">
        <v>100</v>
      </c>
      <c r="L124" s="25" t="str">
        <f ca="1" t="shared" si="18"/>
        <v>2年3个月</v>
      </c>
      <c r="M124" s="25" t="s">
        <v>154</v>
      </c>
      <c r="N124" s="24"/>
      <c r="O124" s="24"/>
      <c r="P124" s="39" t="s">
        <v>358</v>
      </c>
      <c r="Q124" s="24" t="s">
        <v>111</v>
      </c>
      <c r="R124" s="24"/>
      <c r="S124" s="24"/>
      <c r="IV124" s="1"/>
    </row>
    <row r="125" s="1" customFormat="1" ht="15" customHeight="1" spans="1:256">
      <c r="A125" s="24">
        <v>123</v>
      </c>
      <c r="B125" s="25" t="s">
        <v>124</v>
      </c>
      <c r="C125" s="24" t="s">
        <v>359</v>
      </c>
      <c r="D125" s="209" t="s">
        <v>360</v>
      </c>
      <c r="E125" s="24" t="s">
        <v>158</v>
      </c>
      <c r="F125" s="24">
        <v>34</v>
      </c>
      <c r="G125" s="26">
        <v>18552427190</v>
      </c>
      <c r="H125" s="27">
        <v>410546</v>
      </c>
      <c r="I125" s="27"/>
      <c r="J125" s="24" t="s">
        <v>22</v>
      </c>
      <c r="K125" s="24" t="s">
        <v>100</v>
      </c>
      <c r="L125" s="25" t="s">
        <v>153</v>
      </c>
      <c r="M125" s="24" t="s">
        <v>154</v>
      </c>
      <c r="N125" s="24"/>
      <c r="O125" s="24" t="s">
        <v>316</v>
      </c>
      <c r="P125" s="24" t="s">
        <v>358</v>
      </c>
      <c r="Q125" s="24" t="s">
        <v>111</v>
      </c>
      <c r="R125" s="24"/>
      <c r="S125" s="24" t="s">
        <v>111</v>
      </c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3"/>
      <c r="HT125" s="3"/>
      <c r="HU125" s="3"/>
      <c r="HV125" s="3"/>
      <c r="HW125" s="3"/>
      <c r="HX125" s="3"/>
      <c r="HY125" s="3"/>
      <c r="HZ125" s="3"/>
      <c r="IA125" s="3"/>
      <c r="IB125" s="3"/>
      <c r="IC125" s="3"/>
      <c r="ID125" s="3"/>
      <c r="IE125" s="3"/>
      <c r="IF125" s="3"/>
      <c r="IG125" s="3"/>
      <c r="IH125" s="3"/>
      <c r="II125" s="3"/>
      <c r="IJ125" s="3"/>
      <c r="IK125" s="3"/>
      <c r="IL125" s="3"/>
      <c r="IM125" s="3"/>
      <c r="IN125" s="3"/>
      <c r="IO125" s="3"/>
      <c r="IP125" s="3"/>
      <c r="IQ125" s="3"/>
      <c r="IR125" s="3"/>
      <c r="IS125" s="3"/>
      <c r="IT125" s="3"/>
      <c r="IU125" s="3"/>
    </row>
    <row r="126" s="3" customFormat="1" ht="15" customHeight="1" spans="1:256">
      <c r="A126" s="24">
        <v>124</v>
      </c>
      <c r="B126" s="25" t="s">
        <v>361</v>
      </c>
      <c r="C126" s="24" t="s">
        <v>362</v>
      </c>
      <c r="D126" s="209" t="s">
        <v>363</v>
      </c>
      <c r="E126" s="24" t="s">
        <v>152</v>
      </c>
      <c r="F126" s="24">
        <v>35</v>
      </c>
      <c r="G126" s="26">
        <v>18020460659</v>
      </c>
      <c r="H126" s="27"/>
      <c r="I126" s="27"/>
      <c r="J126" s="24" t="s">
        <v>22</v>
      </c>
      <c r="K126" s="24" t="s">
        <v>180</v>
      </c>
      <c r="L126" s="24" t="s">
        <v>153</v>
      </c>
      <c r="M126" s="24"/>
      <c r="N126" s="24"/>
      <c r="O126" s="24" t="s">
        <v>364</v>
      </c>
      <c r="P126" s="24"/>
      <c r="Q126" s="24"/>
      <c r="R126" s="24"/>
      <c r="S126" s="24"/>
      <c r="IV126" s="1"/>
    </row>
    <row r="127" s="5" customFormat="1" ht="15" customHeight="1" spans="1:256">
      <c r="A127" s="24">
        <f t="shared" ref="A127:A167" si="21">ROW()-2</f>
        <v>125</v>
      </c>
      <c r="B127" s="25" t="s">
        <v>365</v>
      </c>
      <c r="C127" s="25" t="s">
        <v>366</v>
      </c>
      <c r="D127" s="25" t="s">
        <v>367</v>
      </c>
      <c r="E127" s="25" t="str">
        <f>IF(MOD(MID(D127,17,1),2),"男","女")</f>
        <v>男</v>
      </c>
      <c r="F127" s="24">
        <f ca="1" t="shared" si="20"/>
        <v>47</v>
      </c>
      <c r="G127" s="26">
        <v>17715906219</v>
      </c>
      <c r="H127" s="27">
        <v>44249</v>
      </c>
      <c r="I127" s="27"/>
      <c r="J127" s="25" t="s">
        <v>22</v>
      </c>
      <c r="K127" s="25" t="s">
        <v>100</v>
      </c>
      <c r="L127" s="25" t="str">
        <f ca="1" t="shared" ref="L127:L134" si="22">DATEDIF(H127,TODAY(),"Y")&amp;"年"&amp;DATEDIF(H127,TODAY(),"YM")&amp;"个月"</f>
        <v>5年1个月</v>
      </c>
      <c r="M127" s="25" t="s">
        <v>154</v>
      </c>
      <c r="N127" s="24"/>
      <c r="O127" s="40" t="s">
        <v>368</v>
      </c>
      <c r="P127" s="25" t="s">
        <v>249</v>
      </c>
      <c r="Q127" s="41" t="s">
        <v>102</v>
      </c>
      <c r="R127" s="42"/>
      <c r="S127" s="42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/>
      <c r="EQ127" s="15"/>
      <c r="ER127" s="15"/>
      <c r="ES127" s="15"/>
      <c r="ET127" s="15"/>
      <c r="EU127" s="15"/>
      <c r="EV127" s="15"/>
      <c r="EW127" s="15"/>
      <c r="EX127" s="15"/>
      <c r="EY127" s="15"/>
      <c r="EZ127" s="15"/>
      <c r="FA127" s="15"/>
      <c r="FB127" s="15"/>
      <c r="FC127" s="15"/>
      <c r="FD127" s="15"/>
      <c r="FE127" s="15"/>
      <c r="FF127" s="15"/>
      <c r="FG127" s="15"/>
      <c r="FH127" s="15"/>
      <c r="FI127" s="15"/>
      <c r="FJ127" s="15"/>
      <c r="FK127" s="15"/>
      <c r="FL127" s="15"/>
      <c r="FM127" s="15"/>
      <c r="FN127" s="15"/>
      <c r="FO127" s="15"/>
      <c r="FP127" s="15"/>
      <c r="FQ127" s="15"/>
      <c r="FR127" s="15"/>
      <c r="FS127" s="15"/>
      <c r="FT127" s="15"/>
      <c r="FU127" s="15"/>
      <c r="FV127" s="15"/>
      <c r="FW127" s="15"/>
      <c r="FX127" s="15"/>
      <c r="FY127" s="15"/>
      <c r="FZ127" s="15"/>
      <c r="GA127" s="15"/>
      <c r="GB127" s="15"/>
      <c r="GC127" s="15"/>
      <c r="GD127" s="15"/>
      <c r="GE127" s="15"/>
      <c r="GF127" s="15"/>
      <c r="GG127" s="15"/>
      <c r="GH127" s="15"/>
      <c r="GI127" s="15"/>
      <c r="GJ127" s="15"/>
      <c r="GK127" s="15"/>
      <c r="GL127" s="15"/>
      <c r="GM127" s="15"/>
      <c r="GN127" s="15"/>
      <c r="GO127" s="15"/>
      <c r="GP127" s="15"/>
      <c r="GQ127" s="15"/>
      <c r="GR127" s="15"/>
      <c r="GS127" s="15"/>
      <c r="GT127" s="15"/>
      <c r="GU127" s="15"/>
      <c r="GV127" s="15"/>
      <c r="GW127" s="15"/>
      <c r="GX127" s="15"/>
      <c r="GY127" s="15"/>
      <c r="GZ127" s="15"/>
      <c r="HA127" s="15"/>
      <c r="HB127" s="15"/>
      <c r="HC127" s="15"/>
      <c r="HD127" s="15"/>
      <c r="HE127" s="15"/>
      <c r="HF127" s="15"/>
      <c r="HG127" s="15"/>
      <c r="HH127" s="15"/>
      <c r="HI127" s="15"/>
      <c r="HJ127" s="15"/>
      <c r="HK127" s="15"/>
      <c r="HL127" s="15"/>
      <c r="HM127" s="15"/>
      <c r="HN127" s="15"/>
      <c r="HO127" s="15"/>
      <c r="HP127" s="15"/>
      <c r="HQ127" s="15"/>
      <c r="HR127" s="15"/>
      <c r="HS127" s="15"/>
      <c r="HT127" s="15"/>
      <c r="HU127" s="15"/>
      <c r="HV127" s="15"/>
      <c r="HW127" s="15"/>
      <c r="HX127" s="15"/>
      <c r="HY127" s="15"/>
      <c r="HZ127" s="15"/>
      <c r="IA127" s="15"/>
      <c r="IB127" s="15"/>
      <c r="IC127" s="15"/>
      <c r="ID127" s="15"/>
      <c r="IE127" s="15"/>
      <c r="IF127" s="15"/>
      <c r="IG127" s="15"/>
      <c r="IH127" s="15"/>
      <c r="II127" s="15"/>
      <c r="IJ127" s="15"/>
      <c r="IK127" s="15"/>
      <c r="IL127" s="15"/>
      <c r="IM127" s="15"/>
      <c r="IN127" s="15"/>
      <c r="IO127" s="15"/>
      <c r="IP127" s="15"/>
      <c r="IQ127" s="15"/>
      <c r="IR127" s="15"/>
      <c r="IS127" s="15"/>
      <c r="IT127" s="15"/>
      <c r="IU127" s="15"/>
      <c r="IV127" s="6"/>
    </row>
    <row r="128" s="5" customFormat="1" ht="15" customHeight="1" spans="1:256">
      <c r="A128" s="24">
        <f t="shared" si="21"/>
        <v>126</v>
      </c>
      <c r="B128" s="25" t="s">
        <v>369</v>
      </c>
      <c r="C128" s="25" t="s">
        <v>370</v>
      </c>
      <c r="D128" s="205" t="s">
        <v>371</v>
      </c>
      <c r="E128" s="25" t="s">
        <v>152</v>
      </c>
      <c r="F128" s="24">
        <f ca="1" t="shared" si="20"/>
        <v>36</v>
      </c>
      <c r="G128" s="26">
        <v>13815554518</v>
      </c>
      <c r="H128" s="27">
        <v>45184</v>
      </c>
      <c r="I128" s="27"/>
      <c r="J128" s="25" t="s">
        <v>122</v>
      </c>
      <c r="K128" s="25" t="s">
        <v>227</v>
      </c>
      <c r="L128" s="25" t="str">
        <f ca="1" t="shared" si="22"/>
        <v>2年6个月</v>
      </c>
      <c r="M128" s="25" t="s">
        <v>154</v>
      </c>
      <c r="N128" s="24"/>
      <c r="O128" s="43"/>
      <c r="P128" s="29" t="s">
        <v>101</v>
      </c>
      <c r="Q128" s="42"/>
      <c r="R128" s="42"/>
      <c r="S128" s="42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5"/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5"/>
      <c r="DX128" s="15"/>
      <c r="DY128" s="15"/>
      <c r="DZ128" s="15"/>
      <c r="EA128" s="15"/>
      <c r="EB128" s="15"/>
      <c r="EC128" s="15"/>
      <c r="ED128" s="15"/>
      <c r="EE128" s="15"/>
      <c r="EF128" s="15"/>
      <c r="EG128" s="15"/>
      <c r="EH128" s="15"/>
      <c r="EI128" s="15"/>
      <c r="EJ128" s="15"/>
      <c r="EK128" s="15"/>
      <c r="EL128" s="15"/>
      <c r="EM128" s="15"/>
      <c r="EN128" s="15"/>
      <c r="EO128" s="15"/>
      <c r="EP128" s="15"/>
      <c r="EQ128" s="15"/>
      <c r="ER128" s="15"/>
      <c r="ES128" s="15"/>
      <c r="ET128" s="15"/>
      <c r="EU128" s="15"/>
      <c r="EV128" s="15"/>
      <c r="EW128" s="15"/>
      <c r="EX128" s="15"/>
      <c r="EY128" s="15"/>
      <c r="EZ128" s="15"/>
      <c r="FA128" s="15"/>
      <c r="FB128" s="15"/>
      <c r="FC128" s="15"/>
      <c r="FD128" s="15"/>
      <c r="FE128" s="15"/>
      <c r="FF128" s="15"/>
      <c r="FG128" s="15"/>
      <c r="FH128" s="15"/>
      <c r="FI128" s="15"/>
      <c r="FJ128" s="15"/>
      <c r="FK128" s="15"/>
      <c r="FL128" s="15"/>
      <c r="FM128" s="15"/>
      <c r="FN128" s="15"/>
      <c r="FO128" s="15"/>
      <c r="FP128" s="15"/>
      <c r="FQ128" s="15"/>
      <c r="FR128" s="15"/>
      <c r="FS128" s="15"/>
      <c r="FT128" s="15"/>
      <c r="FU128" s="15"/>
      <c r="FV128" s="15"/>
      <c r="FW128" s="15"/>
      <c r="FX128" s="15"/>
      <c r="FY128" s="15"/>
      <c r="FZ128" s="15"/>
      <c r="GA128" s="15"/>
      <c r="GB128" s="15"/>
      <c r="GC128" s="15"/>
      <c r="GD128" s="15"/>
      <c r="GE128" s="15"/>
      <c r="GF128" s="15"/>
      <c r="GG128" s="15"/>
      <c r="GH128" s="15"/>
      <c r="GI128" s="15"/>
      <c r="GJ128" s="15"/>
      <c r="GK128" s="15"/>
      <c r="GL128" s="15"/>
      <c r="GM128" s="15"/>
      <c r="GN128" s="15"/>
      <c r="GO128" s="15"/>
      <c r="GP128" s="15"/>
      <c r="GQ128" s="15"/>
      <c r="GR128" s="15"/>
      <c r="GS128" s="15"/>
      <c r="GT128" s="15"/>
      <c r="GU128" s="15"/>
      <c r="GV128" s="15"/>
      <c r="GW128" s="15"/>
      <c r="GX128" s="15"/>
      <c r="GY128" s="15"/>
      <c r="GZ128" s="15"/>
      <c r="HA128" s="15"/>
      <c r="HB128" s="15"/>
      <c r="HC128" s="15"/>
      <c r="HD128" s="15"/>
      <c r="HE128" s="15"/>
      <c r="HF128" s="15"/>
      <c r="HG128" s="15"/>
      <c r="HH128" s="15"/>
      <c r="HI128" s="15"/>
      <c r="HJ128" s="15"/>
      <c r="HK128" s="15"/>
      <c r="HL128" s="15"/>
      <c r="HM128" s="15"/>
      <c r="HN128" s="15"/>
      <c r="HO128" s="15"/>
      <c r="HP128" s="15"/>
      <c r="HQ128" s="15"/>
      <c r="HR128" s="15"/>
      <c r="HS128" s="15"/>
      <c r="HT128" s="15"/>
      <c r="HU128" s="15"/>
      <c r="HV128" s="15"/>
      <c r="HW128" s="15"/>
      <c r="HX128" s="15"/>
      <c r="HY128" s="15"/>
      <c r="HZ128" s="15"/>
      <c r="IA128" s="15"/>
      <c r="IB128" s="15"/>
      <c r="IC128" s="15"/>
      <c r="ID128" s="15"/>
      <c r="IE128" s="15"/>
      <c r="IF128" s="15"/>
      <c r="IG128" s="15"/>
      <c r="IH128" s="15"/>
      <c r="II128" s="15"/>
      <c r="IJ128" s="15"/>
      <c r="IK128" s="15"/>
      <c r="IL128" s="15"/>
      <c r="IM128" s="15"/>
      <c r="IN128" s="15"/>
      <c r="IO128" s="15"/>
      <c r="IP128" s="15"/>
      <c r="IQ128" s="15"/>
      <c r="IR128" s="15"/>
      <c r="IS128" s="15"/>
      <c r="IT128" s="15"/>
      <c r="IU128" s="15"/>
      <c r="IV128" s="6"/>
    </row>
    <row r="129" s="5" customFormat="1" ht="15" customHeight="1" spans="1:256">
      <c r="A129" s="24">
        <f t="shared" si="21"/>
        <v>127</v>
      </c>
      <c r="B129" s="25" t="s">
        <v>372</v>
      </c>
      <c r="C129" s="25" t="s">
        <v>373</v>
      </c>
      <c r="D129" s="25" t="s">
        <v>374</v>
      </c>
      <c r="E129" s="25" t="s">
        <v>152</v>
      </c>
      <c r="F129" s="24">
        <f ca="1" t="shared" si="20"/>
        <v>32</v>
      </c>
      <c r="G129" s="26">
        <v>18888058650</v>
      </c>
      <c r="H129" s="27">
        <v>45192</v>
      </c>
      <c r="I129" s="27"/>
      <c r="J129" s="24"/>
      <c r="K129" s="25" t="s">
        <v>168</v>
      </c>
      <c r="L129" s="25" t="str">
        <f ca="1" t="shared" si="22"/>
        <v>2年6个月</v>
      </c>
      <c r="M129" s="25" t="s">
        <v>154</v>
      </c>
      <c r="N129" s="24"/>
      <c r="O129" s="43"/>
      <c r="P129" s="29" t="s">
        <v>101</v>
      </c>
      <c r="Q129" s="42"/>
      <c r="R129" s="42"/>
      <c r="S129" s="42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  <c r="EN129" s="15"/>
      <c r="EO129" s="15"/>
      <c r="EP129" s="15"/>
      <c r="EQ129" s="15"/>
      <c r="ER129" s="15"/>
      <c r="ES129" s="15"/>
      <c r="ET129" s="15"/>
      <c r="EU129" s="15"/>
      <c r="EV129" s="15"/>
      <c r="EW129" s="15"/>
      <c r="EX129" s="15"/>
      <c r="EY129" s="15"/>
      <c r="EZ129" s="15"/>
      <c r="FA129" s="15"/>
      <c r="FB129" s="15"/>
      <c r="FC129" s="15"/>
      <c r="FD129" s="15"/>
      <c r="FE129" s="15"/>
      <c r="FF129" s="15"/>
      <c r="FG129" s="15"/>
      <c r="FH129" s="15"/>
      <c r="FI129" s="15"/>
      <c r="FJ129" s="15"/>
      <c r="FK129" s="15"/>
      <c r="FL129" s="15"/>
      <c r="FM129" s="15"/>
      <c r="FN129" s="15"/>
      <c r="FO129" s="15"/>
      <c r="FP129" s="15"/>
      <c r="FQ129" s="15"/>
      <c r="FR129" s="15"/>
      <c r="FS129" s="15"/>
      <c r="FT129" s="15"/>
      <c r="FU129" s="15"/>
      <c r="FV129" s="15"/>
      <c r="FW129" s="15"/>
      <c r="FX129" s="15"/>
      <c r="FY129" s="15"/>
      <c r="FZ129" s="15"/>
      <c r="GA129" s="15"/>
      <c r="GB129" s="15"/>
      <c r="GC129" s="15"/>
      <c r="GD129" s="15"/>
      <c r="GE129" s="15"/>
      <c r="GF129" s="15"/>
      <c r="GG129" s="15"/>
      <c r="GH129" s="15"/>
      <c r="GI129" s="15"/>
      <c r="GJ129" s="15"/>
      <c r="GK129" s="15"/>
      <c r="GL129" s="15"/>
      <c r="GM129" s="15"/>
      <c r="GN129" s="15"/>
      <c r="GO129" s="15"/>
      <c r="GP129" s="15"/>
      <c r="GQ129" s="15"/>
      <c r="GR129" s="15"/>
      <c r="GS129" s="15"/>
      <c r="GT129" s="15"/>
      <c r="GU129" s="15"/>
      <c r="GV129" s="15"/>
      <c r="GW129" s="15"/>
      <c r="GX129" s="15"/>
      <c r="GY129" s="15"/>
      <c r="GZ129" s="15"/>
      <c r="HA129" s="15"/>
      <c r="HB129" s="15"/>
      <c r="HC129" s="15"/>
      <c r="HD129" s="15"/>
      <c r="HE129" s="15"/>
      <c r="HF129" s="15"/>
      <c r="HG129" s="15"/>
      <c r="HH129" s="15"/>
      <c r="HI129" s="15"/>
      <c r="HJ129" s="15"/>
      <c r="HK129" s="15"/>
      <c r="HL129" s="15"/>
      <c r="HM129" s="15"/>
      <c r="HN129" s="15"/>
      <c r="HO129" s="15"/>
      <c r="HP129" s="15"/>
      <c r="HQ129" s="15"/>
      <c r="HR129" s="15"/>
      <c r="HS129" s="15"/>
      <c r="HT129" s="15"/>
      <c r="HU129" s="15"/>
      <c r="HV129" s="15"/>
      <c r="HW129" s="15"/>
      <c r="HX129" s="15"/>
      <c r="HY129" s="15"/>
      <c r="HZ129" s="15"/>
      <c r="IA129" s="15"/>
      <c r="IB129" s="15"/>
      <c r="IC129" s="15"/>
      <c r="ID129" s="15"/>
      <c r="IE129" s="15"/>
      <c r="IF129" s="15"/>
      <c r="IG129" s="15"/>
      <c r="IH129" s="15"/>
      <c r="II129" s="15"/>
      <c r="IJ129" s="15"/>
      <c r="IK129" s="15"/>
      <c r="IL129" s="15"/>
      <c r="IM129" s="15"/>
      <c r="IN129" s="15"/>
      <c r="IO129" s="15"/>
      <c r="IP129" s="15"/>
      <c r="IQ129" s="15"/>
      <c r="IR129" s="15"/>
      <c r="IS129" s="15"/>
      <c r="IT129" s="15"/>
      <c r="IU129" s="15"/>
      <c r="IV129" s="6"/>
    </row>
    <row r="130" s="5" customFormat="1" ht="15" customHeight="1" spans="1:256">
      <c r="A130" s="24">
        <f t="shared" si="21"/>
        <v>128</v>
      </c>
      <c r="B130" s="25" t="s">
        <v>240</v>
      </c>
      <c r="C130" s="25" t="s">
        <v>375</v>
      </c>
      <c r="D130" s="205" t="s">
        <v>376</v>
      </c>
      <c r="E130" s="25" t="s">
        <v>158</v>
      </c>
      <c r="F130" s="24">
        <f ca="1" t="shared" si="20"/>
        <v>62</v>
      </c>
      <c r="G130" s="44"/>
      <c r="H130" s="27">
        <v>45171</v>
      </c>
      <c r="I130" s="27"/>
      <c r="J130" s="25" t="s">
        <v>377</v>
      </c>
      <c r="K130" s="25" t="s">
        <v>378</v>
      </c>
      <c r="L130" s="25" t="str">
        <f ca="1" t="shared" si="22"/>
        <v>2年7个月</v>
      </c>
      <c r="M130" s="25" t="s">
        <v>154</v>
      </c>
      <c r="N130" s="24"/>
      <c r="O130" s="43" t="s">
        <v>303</v>
      </c>
      <c r="P130" s="29" t="s">
        <v>101</v>
      </c>
      <c r="Q130" s="42"/>
      <c r="R130" s="42"/>
      <c r="S130" s="42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  <c r="DF130" s="15"/>
      <c r="DG130" s="15"/>
      <c r="DH130" s="15"/>
      <c r="DI130" s="15"/>
      <c r="DJ130" s="15"/>
      <c r="DK130" s="15"/>
      <c r="DL130" s="15"/>
      <c r="DM130" s="15"/>
      <c r="DN130" s="15"/>
      <c r="DO130" s="15"/>
      <c r="DP130" s="15"/>
      <c r="DQ130" s="15"/>
      <c r="DR130" s="15"/>
      <c r="DS130" s="15"/>
      <c r="DT130" s="15"/>
      <c r="DU130" s="15"/>
      <c r="DV130" s="15"/>
      <c r="DW130" s="15"/>
      <c r="DX130" s="15"/>
      <c r="DY130" s="15"/>
      <c r="DZ130" s="15"/>
      <c r="EA130" s="15"/>
      <c r="EB130" s="15"/>
      <c r="EC130" s="15"/>
      <c r="ED130" s="15"/>
      <c r="EE130" s="15"/>
      <c r="EF130" s="15"/>
      <c r="EG130" s="15"/>
      <c r="EH130" s="15"/>
      <c r="EI130" s="15"/>
      <c r="EJ130" s="15"/>
      <c r="EK130" s="15"/>
      <c r="EL130" s="15"/>
      <c r="EM130" s="15"/>
      <c r="EN130" s="15"/>
      <c r="EO130" s="15"/>
      <c r="EP130" s="15"/>
      <c r="EQ130" s="15"/>
      <c r="ER130" s="15"/>
      <c r="ES130" s="15"/>
      <c r="ET130" s="15"/>
      <c r="EU130" s="15"/>
      <c r="EV130" s="15"/>
      <c r="EW130" s="15"/>
      <c r="EX130" s="15"/>
      <c r="EY130" s="15"/>
      <c r="EZ130" s="15"/>
      <c r="FA130" s="15"/>
      <c r="FB130" s="15"/>
      <c r="FC130" s="15"/>
      <c r="FD130" s="15"/>
      <c r="FE130" s="15"/>
      <c r="FF130" s="15"/>
      <c r="FG130" s="15"/>
      <c r="FH130" s="15"/>
      <c r="FI130" s="15"/>
      <c r="FJ130" s="15"/>
      <c r="FK130" s="15"/>
      <c r="FL130" s="15"/>
      <c r="FM130" s="15"/>
      <c r="FN130" s="15"/>
      <c r="FO130" s="15"/>
      <c r="FP130" s="15"/>
      <c r="FQ130" s="15"/>
      <c r="FR130" s="15"/>
      <c r="FS130" s="15"/>
      <c r="FT130" s="15"/>
      <c r="FU130" s="15"/>
      <c r="FV130" s="15"/>
      <c r="FW130" s="15"/>
      <c r="FX130" s="15"/>
      <c r="FY130" s="15"/>
      <c r="FZ130" s="15"/>
      <c r="GA130" s="15"/>
      <c r="GB130" s="15"/>
      <c r="GC130" s="15"/>
      <c r="GD130" s="15"/>
      <c r="GE130" s="15"/>
      <c r="GF130" s="15"/>
      <c r="GG130" s="15"/>
      <c r="GH130" s="15"/>
      <c r="GI130" s="15"/>
      <c r="GJ130" s="15"/>
      <c r="GK130" s="15"/>
      <c r="GL130" s="15"/>
      <c r="GM130" s="15"/>
      <c r="GN130" s="15"/>
      <c r="GO130" s="15"/>
      <c r="GP130" s="15"/>
      <c r="GQ130" s="15"/>
      <c r="GR130" s="15"/>
      <c r="GS130" s="15"/>
      <c r="GT130" s="15"/>
      <c r="GU130" s="15"/>
      <c r="GV130" s="15"/>
      <c r="GW130" s="15"/>
      <c r="GX130" s="15"/>
      <c r="GY130" s="15"/>
      <c r="GZ130" s="15"/>
      <c r="HA130" s="15"/>
      <c r="HB130" s="15"/>
      <c r="HC130" s="15"/>
      <c r="HD130" s="15"/>
      <c r="HE130" s="15"/>
      <c r="HF130" s="15"/>
      <c r="HG130" s="15"/>
      <c r="HH130" s="15"/>
      <c r="HI130" s="15"/>
      <c r="HJ130" s="15"/>
      <c r="HK130" s="15"/>
      <c r="HL130" s="15"/>
      <c r="HM130" s="15"/>
      <c r="HN130" s="15"/>
      <c r="HO130" s="15"/>
      <c r="HP130" s="15"/>
      <c r="HQ130" s="15"/>
      <c r="HR130" s="15"/>
      <c r="HS130" s="15"/>
      <c r="HT130" s="15"/>
      <c r="HU130" s="15"/>
      <c r="HV130" s="15"/>
      <c r="HW130" s="15"/>
      <c r="HX130" s="15"/>
      <c r="HY130" s="15"/>
      <c r="HZ130" s="15"/>
      <c r="IA130" s="15"/>
      <c r="IB130" s="15"/>
      <c r="IC130" s="15"/>
      <c r="ID130" s="15"/>
      <c r="IE130" s="15"/>
      <c r="IF130" s="15"/>
      <c r="IG130" s="15"/>
      <c r="IH130" s="15"/>
      <c r="II130" s="15"/>
      <c r="IJ130" s="15"/>
      <c r="IK130" s="15"/>
      <c r="IL130" s="15"/>
      <c r="IM130" s="15"/>
      <c r="IN130" s="15"/>
      <c r="IO130" s="15"/>
      <c r="IP130" s="15"/>
      <c r="IQ130" s="15"/>
      <c r="IR130" s="15"/>
      <c r="IS130" s="15"/>
      <c r="IT130" s="15"/>
      <c r="IU130" s="15"/>
      <c r="IV130" s="6"/>
    </row>
    <row r="131" s="5" customFormat="1" ht="15" customHeight="1" spans="1:256">
      <c r="A131" s="24">
        <f t="shared" si="21"/>
        <v>129</v>
      </c>
      <c r="B131" s="25" t="s">
        <v>379</v>
      </c>
      <c r="C131" s="25" t="s">
        <v>380</v>
      </c>
      <c r="D131" s="25" t="s">
        <v>381</v>
      </c>
      <c r="E131" s="25" t="s">
        <v>152</v>
      </c>
      <c r="F131" s="24">
        <f ca="1" t="shared" si="20"/>
        <v>63</v>
      </c>
      <c r="G131" s="44"/>
      <c r="H131" s="27">
        <v>45171</v>
      </c>
      <c r="I131" s="27"/>
      <c r="J131" s="25" t="s">
        <v>377</v>
      </c>
      <c r="K131" s="25" t="s">
        <v>378</v>
      </c>
      <c r="L131" s="25" t="str">
        <f ca="1" t="shared" si="22"/>
        <v>2年7个月</v>
      </c>
      <c r="M131" s="25" t="s">
        <v>154</v>
      </c>
      <c r="N131" s="24"/>
      <c r="O131" s="43" t="s">
        <v>303</v>
      </c>
      <c r="P131" s="29" t="s">
        <v>101</v>
      </c>
      <c r="Q131" s="42"/>
      <c r="R131" s="42"/>
      <c r="S131" s="42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/>
      <c r="EQ131" s="15"/>
      <c r="ER131" s="15"/>
      <c r="ES131" s="15"/>
      <c r="ET131" s="15"/>
      <c r="EU131" s="15"/>
      <c r="EV131" s="15"/>
      <c r="EW131" s="15"/>
      <c r="EX131" s="15"/>
      <c r="EY131" s="15"/>
      <c r="EZ131" s="15"/>
      <c r="FA131" s="15"/>
      <c r="FB131" s="15"/>
      <c r="FC131" s="15"/>
      <c r="FD131" s="15"/>
      <c r="FE131" s="15"/>
      <c r="FF131" s="15"/>
      <c r="FG131" s="15"/>
      <c r="FH131" s="15"/>
      <c r="FI131" s="15"/>
      <c r="FJ131" s="15"/>
      <c r="FK131" s="15"/>
      <c r="FL131" s="15"/>
      <c r="FM131" s="15"/>
      <c r="FN131" s="15"/>
      <c r="FO131" s="15"/>
      <c r="FP131" s="15"/>
      <c r="FQ131" s="15"/>
      <c r="FR131" s="15"/>
      <c r="FS131" s="15"/>
      <c r="FT131" s="15"/>
      <c r="FU131" s="15"/>
      <c r="FV131" s="15"/>
      <c r="FW131" s="15"/>
      <c r="FX131" s="15"/>
      <c r="FY131" s="15"/>
      <c r="FZ131" s="15"/>
      <c r="GA131" s="15"/>
      <c r="GB131" s="15"/>
      <c r="GC131" s="15"/>
      <c r="GD131" s="15"/>
      <c r="GE131" s="15"/>
      <c r="GF131" s="15"/>
      <c r="GG131" s="15"/>
      <c r="GH131" s="15"/>
      <c r="GI131" s="15"/>
      <c r="GJ131" s="15"/>
      <c r="GK131" s="15"/>
      <c r="GL131" s="15"/>
      <c r="GM131" s="15"/>
      <c r="GN131" s="15"/>
      <c r="GO131" s="15"/>
      <c r="GP131" s="15"/>
      <c r="GQ131" s="15"/>
      <c r="GR131" s="15"/>
      <c r="GS131" s="15"/>
      <c r="GT131" s="15"/>
      <c r="GU131" s="15"/>
      <c r="GV131" s="15"/>
      <c r="GW131" s="15"/>
      <c r="GX131" s="15"/>
      <c r="GY131" s="15"/>
      <c r="GZ131" s="15"/>
      <c r="HA131" s="15"/>
      <c r="HB131" s="15"/>
      <c r="HC131" s="15"/>
      <c r="HD131" s="15"/>
      <c r="HE131" s="15"/>
      <c r="HF131" s="15"/>
      <c r="HG131" s="15"/>
      <c r="HH131" s="15"/>
      <c r="HI131" s="15"/>
      <c r="HJ131" s="15"/>
      <c r="HK131" s="15"/>
      <c r="HL131" s="15"/>
      <c r="HM131" s="15"/>
      <c r="HN131" s="15"/>
      <c r="HO131" s="15"/>
      <c r="HP131" s="15"/>
      <c r="HQ131" s="15"/>
      <c r="HR131" s="15"/>
      <c r="HS131" s="15"/>
      <c r="HT131" s="15"/>
      <c r="HU131" s="15"/>
      <c r="HV131" s="15"/>
      <c r="HW131" s="15"/>
      <c r="HX131" s="15"/>
      <c r="HY131" s="15"/>
      <c r="HZ131" s="15"/>
      <c r="IA131" s="15"/>
      <c r="IB131" s="15"/>
      <c r="IC131" s="15"/>
      <c r="ID131" s="15"/>
      <c r="IE131" s="15"/>
      <c r="IF131" s="15"/>
      <c r="IG131" s="15"/>
      <c r="IH131" s="15"/>
      <c r="II131" s="15"/>
      <c r="IJ131" s="15"/>
      <c r="IK131" s="15"/>
      <c r="IL131" s="15"/>
      <c r="IM131" s="15"/>
      <c r="IN131" s="15"/>
      <c r="IO131" s="15"/>
      <c r="IP131" s="15"/>
      <c r="IQ131" s="15"/>
      <c r="IR131" s="15"/>
      <c r="IS131" s="15"/>
      <c r="IT131" s="15"/>
      <c r="IU131" s="15"/>
      <c r="IV131" s="6"/>
    </row>
    <row r="132" s="5" customFormat="1" ht="15" customHeight="1" spans="1:256">
      <c r="A132" s="24">
        <f t="shared" si="21"/>
        <v>130</v>
      </c>
      <c r="B132" s="25" t="s">
        <v>382</v>
      </c>
      <c r="C132" s="25" t="s">
        <v>383</v>
      </c>
      <c r="D132" s="205" t="s">
        <v>384</v>
      </c>
      <c r="E132" s="25" t="str">
        <f>IF(MOD(MID(D132,17,1),2),"男","女")</f>
        <v>女</v>
      </c>
      <c r="F132" s="24">
        <f ca="1" t="shared" si="20"/>
        <v>41</v>
      </c>
      <c r="G132" s="26">
        <v>13912537050</v>
      </c>
      <c r="H132" s="27">
        <v>45106</v>
      </c>
      <c r="I132" s="27"/>
      <c r="J132" s="25" t="s">
        <v>385</v>
      </c>
      <c r="K132" s="25" t="s">
        <v>386</v>
      </c>
      <c r="L132" s="25" t="str">
        <f ca="1" t="shared" si="22"/>
        <v>2年9个月</v>
      </c>
      <c r="M132" s="25" t="s">
        <v>154</v>
      </c>
      <c r="N132" s="24"/>
      <c r="O132" s="43" t="s">
        <v>303</v>
      </c>
      <c r="P132" s="45" t="s">
        <v>101</v>
      </c>
      <c r="Q132" s="46" t="s">
        <v>111</v>
      </c>
      <c r="R132" s="42"/>
      <c r="S132" s="42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  <c r="DF132" s="15"/>
      <c r="DG132" s="15"/>
      <c r="DH132" s="15"/>
      <c r="DI132" s="15"/>
      <c r="DJ132" s="15"/>
      <c r="DK132" s="15"/>
      <c r="DL132" s="15"/>
      <c r="DM132" s="15"/>
      <c r="DN132" s="15"/>
      <c r="DO132" s="15"/>
      <c r="DP132" s="15"/>
      <c r="DQ132" s="15"/>
      <c r="DR132" s="15"/>
      <c r="DS132" s="15"/>
      <c r="DT132" s="15"/>
      <c r="DU132" s="15"/>
      <c r="DV132" s="15"/>
      <c r="DW132" s="15"/>
      <c r="DX132" s="15"/>
      <c r="DY132" s="15"/>
      <c r="DZ132" s="15"/>
      <c r="EA132" s="15"/>
      <c r="EB132" s="15"/>
      <c r="EC132" s="15"/>
      <c r="ED132" s="15"/>
      <c r="EE132" s="15"/>
      <c r="EF132" s="15"/>
      <c r="EG132" s="15"/>
      <c r="EH132" s="15"/>
      <c r="EI132" s="15"/>
      <c r="EJ132" s="15"/>
      <c r="EK132" s="15"/>
      <c r="EL132" s="15"/>
      <c r="EM132" s="15"/>
      <c r="EN132" s="15"/>
      <c r="EO132" s="15"/>
      <c r="EP132" s="15"/>
      <c r="EQ132" s="15"/>
      <c r="ER132" s="15"/>
      <c r="ES132" s="15"/>
      <c r="ET132" s="15"/>
      <c r="EU132" s="15"/>
      <c r="EV132" s="15"/>
      <c r="EW132" s="15"/>
      <c r="EX132" s="15"/>
      <c r="EY132" s="15"/>
      <c r="EZ132" s="15"/>
      <c r="FA132" s="15"/>
      <c r="FB132" s="15"/>
      <c r="FC132" s="15"/>
      <c r="FD132" s="15"/>
      <c r="FE132" s="15"/>
      <c r="FF132" s="15"/>
      <c r="FG132" s="15"/>
      <c r="FH132" s="15"/>
      <c r="FI132" s="15"/>
      <c r="FJ132" s="15"/>
      <c r="FK132" s="15"/>
      <c r="FL132" s="15"/>
      <c r="FM132" s="15"/>
      <c r="FN132" s="15"/>
      <c r="FO132" s="15"/>
      <c r="FP132" s="15"/>
      <c r="FQ132" s="15"/>
      <c r="FR132" s="15"/>
      <c r="FS132" s="15"/>
      <c r="FT132" s="15"/>
      <c r="FU132" s="15"/>
      <c r="FV132" s="15"/>
      <c r="FW132" s="15"/>
      <c r="FX132" s="15"/>
      <c r="FY132" s="15"/>
      <c r="FZ132" s="15"/>
      <c r="GA132" s="15"/>
      <c r="GB132" s="15"/>
      <c r="GC132" s="15"/>
      <c r="GD132" s="15"/>
      <c r="GE132" s="15"/>
      <c r="GF132" s="15"/>
      <c r="GG132" s="15"/>
      <c r="GH132" s="15"/>
      <c r="GI132" s="15"/>
      <c r="GJ132" s="15"/>
      <c r="GK132" s="15"/>
      <c r="GL132" s="15"/>
      <c r="GM132" s="15"/>
      <c r="GN132" s="15"/>
      <c r="GO132" s="15"/>
      <c r="GP132" s="15"/>
      <c r="GQ132" s="15"/>
      <c r="GR132" s="15"/>
      <c r="GS132" s="15"/>
      <c r="GT132" s="15"/>
      <c r="GU132" s="15"/>
      <c r="GV132" s="15"/>
      <c r="GW132" s="15"/>
      <c r="GX132" s="15"/>
      <c r="GY132" s="15"/>
      <c r="GZ132" s="15"/>
      <c r="HA132" s="15"/>
      <c r="HB132" s="15"/>
      <c r="HC132" s="15"/>
      <c r="HD132" s="15"/>
      <c r="HE132" s="15"/>
      <c r="HF132" s="15"/>
      <c r="HG132" s="15"/>
      <c r="HH132" s="15"/>
      <c r="HI132" s="15"/>
      <c r="HJ132" s="15"/>
      <c r="HK132" s="15"/>
      <c r="HL132" s="15"/>
      <c r="HM132" s="15"/>
      <c r="HN132" s="15"/>
      <c r="HO132" s="15"/>
      <c r="HP132" s="15"/>
      <c r="HQ132" s="15"/>
      <c r="HR132" s="15"/>
      <c r="HS132" s="15"/>
      <c r="HT132" s="15"/>
      <c r="HU132" s="15"/>
      <c r="HV132" s="15"/>
      <c r="HW132" s="15"/>
      <c r="HX132" s="15"/>
      <c r="HY132" s="15"/>
      <c r="HZ132" s="15"/>
      <c r="IA132" s="15"/>
      <c r="IB132" s="15"/>
      <c r="IC132" s="15"/>
      <c r="ID132" s="15"/>
      <c r="IE132" s="15"/>
      <c r="IF132" s="15"/>
      <c r="IG132" s="15"/>
      <c r="IH132" s="15"/>
      <c r="II132" s="15"/>
      <c r="IJ132" s="15"/>
      <c r="IK132" s="15"/>
      <c r="IL132" s="15"/>
      <c r="IM132" s="15"/>
      <c r="IN132" s="15"/>
      <c r="IO132" s="15"/>
      <c r="IP132" s="15"/>
      <c r="IQ132" s="15"/>
      <c r="IR132" s="15"/>
      <c r="IS132" s="15"/>
      <c r="IT132" s="15"/>
      <c r="IU132" s="15"/>
      <c r="IV132" s="6"/>
    </row>
    <row r="133" s="6" customFormat="1" ht="15" customHeight="1" spans="1:256">
      <c r="A133" s="24">
        <f t="shared" si="21"/>
        <v>131</v>
      </c>
      <c r="B133" s="47" t="s">
        <v>112</v>
      </c>
      <c r="C133" s="48" t="s">
        <v>387</v>
      </c>
      <c r="D133" s="48" t="s">
        <v>388</v>
      </c>
      <c r="E133" s="48" t="s">
        <v>152</v>
      </c>
      <c r="F133" s="48">
        <v>43</v>
      </c>
      <c r="G133" s="26">
        <v>13912537050</v>
      </c>
      <c r="H133" s="49">
        <v>45303</v>
      </c>
      <c r="I133" s="50"/>
      <c r="J133" s="48" t="s">
        <v>22</v>
      </c>
      <c r="K133" s="25" t="s">
        <v>389</v>
      </c>
      <c r="L133" s="47" t="str">
        <f ca="1" t="shared" si="22"/>
        <v>2年3个月</v>
      </c>
      <c r="M133" s="51" t="s">
        <v>154</v>
      </c>
      <c r="N133" s="48"/>
      <c r="O133" s="52" t="s">
        <v>390</v>
      </c>
      <c r="P133" s="53" t="s">
        <v>358</v>
      </c>
      <c r="Q133" s="46" t="s">
        <v>111</v>
      </c>
      <c r="R133" s="48"/>
      <c r="S133" s="46" t="s">
        <v>111</v>
      </c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  <c r="ET133" s="9"/>
      <c r="EU133" s="9"/>
      <c r="EV133" s="9"/>
      <c r="EW133" s="9"/>
      <c r="EX133" s="9"/>
      <c r="EY133" s="9"/>
      <c r="EZ133" s="9"/>
      <c r="FA133" s="9"/>
      <c r="FB133" s="9"/>
      <c r="FC133" s="9"/>
      <c r="FD133" s="9"/>
      <c r="FE133" s="9"/>
      <c r="FF133" s="9"/>
      <c r="FG133" s="9"/>
      <c r="FH133" s="9"/>
      <c r="FI133" s="9"/>
      <c r="FJ133" s="9"/>
      <c r="FK133" s="9"/>
      <c r="FL133" s="9"/>
      <c r="FM133" s="9"/>
      <c r="FN133" s="9"/>
      <c r="FO133" s="9"/>
      <c r="FP133" s="9"/>
      <c r="FQ133" s="9"/>
      <c r="FR133" s="9"/>
      <c r="FS133" s="9"/>
      <c r="FT133" s="9"/>
      <c r="FU133" s="9"/>
      <c r="FV133" s="9"/>
      <c r="FW133" s="9"/>
      <c r="FX133" s="9"/>
      <c r="FY133" s="9"/>
      <c r="FZ133" s="9"/>
      <c r="GA133" s="9"/>
      <c r="GB133" s="9"/>
      <c r="GC133" s="9"/>
      <c r="GD133" s="9"/>
      <c r="GE133" s="9"/>
      <c r="GF133" s="9"/>
      <c r="GG133" s="9"/>
      <c r="GH133" s="9"/>
      <c r="GI133" s="9"/>
      <c r="GJ133" s="9"/>
      <c r="GK133" s="9"/>
      <c r="GL133" s="9"/>
      <c r="GM133" s="9"/>
      <c r="GN133" s="9"/>
      <c r="GO133" s="9"/>
      <c r="GP133" s="9"/>
      <c r="GQ133" s="9"/>
      <c r="GR133" s="9"/>
      <c r="GS133" s="9"/>
      <c r="GT133" s="9"/>
      <c r="GU133" s="9"/>
      <c r="GV133" s="9"/>
      <c r="GW133" s="9"/>
      <c r="GX133" s="9"/>
      <c r="GY133" s="9"/>
      <c r="GZ133" s="9"/>
      <c r="HA133" s="9"/>
      <c r="HB133" s="9"/>
      <c r="HC133" s="9"/>
      <c r="HD133" s="9"/>
      <c r="HE133" s="9"/>
      <c r="HF133" s="9"/>
      <c r="HG133" s="9"/>
      <c r="HH133" s="9"/>
      <c r="HI133" s="9"/>
      <c r="HJ133" s="9"/>
      <c r="HK133" s="9"/>
      <c r="HL133" s="9"/>
      <c r="HM133" s="9"/>
      <c r="HN133" s="9"/>
      <c r="HO133" s="9"/>
      <c r="HP133" s="9"/>
      <c r="HQ133" s="9"/>
      <c r="HR133" s="9"/>
      <c r="HS133" s="9"/>
      <c r="HT133" s="9"/>
      <c r="HU133" s="9"/>
      <c r="HV133" s="9"/>
      <c r="HW133" s="9"/>
      <c r="HX133" s="9"/>
      <c r="HY133" s="9"/>
      <c r="HZ133" s="9"/>
      <c r="IA133" s="9"/>
      <c r="IB133" s="9"/>
      <c r="IC133" s="9"/>
      <c r="ID133" s="9"/>
      <c r="IE133" s="9"/>
      <c r="IF133" s="9"/>
      <c r="IG133" s="9"/>
      <c r="IH133" s="9"/>
      <c r="II133" s="9"/>
      <c r="IJ133" s="9"/>
      <c r="IK133" s="9"/>
      <c r="IL133" s="9"/>
      <c r="IM133" s="9"/>
      <c r="IN133" s="9"/>
      <c r="IO133" s="9"/>
      <c r="IP133" s="9"/>
      <c r="IQ133" s="9"/>
      <c r="IR133" s="9"/>
      <c r="IS133" s="9"/>
      <c r="IT133" s="9"/>
      <c r="IU133" s="9"/>
    </row>
    <row r="134" s="5" customFormat="1" ht="15" customHeight="1" spans="1:256">
      <c r="A134" s="24">
        <f t="shared" si="21"/>
        <v>132</v>
      </c>
      <c r="B134" s="25" t="s">
        <v>391</v>
      </c>
      <c r="C134" s="25" t="s">
        <v>392</v>
      </c>
      <c r="D134" s="205" t="s">
        <v>393</v>
      </c>
      <c r="E134" s="25" t="s">
        <v>158</v>
      </c>
      <c r="F134" s="24">
        <f ca="1">YEAR(NOW())-MID(D134,7,4)</f>
        <v>30</v>
      </c>
      <c r="G134" s="26">
        <v>13912537050</v>
      </c>
      <c r="H134" s="27">
        <v>45173</v>
      </c>
      <c r="I134" s="27"/>
      <c r="J134" s="25" t="s">
        <v>394</v>
      </c>
      <c r="K134" s="25" t="s">
        <v>312</v>
      </c>
      <c r="L134" s="25" t="str">
        <f ca="1" t="shared" si="22"/>
        <v>2年7个月</v>
      </c>
      <c r="M134" s="25" t="s">
        <v>154</v>
      </c>
      <c r="N134" s="24"/>
      <c r="O134" s="43" t="s">
        <v>395</v>
      </c>
      <c r="P134" s="30" t="s">
        <v>396</v>
      </c>
      <c r="Q134" s="42"/>
      <c r="R134" s="42" t="s">
        <v>397</v>
      </c>
      <c r="S134" s="42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  <c r="DF134" s="15"/>
      <c r="DG134" s="15"/>
      <c r="DH134" s="15"/>
      <c r="DI134" s="15"/>
      <c r="DJ134" s="15"/>
      <c r="DK134" s="15"/>
      <c r="DL134" s="15"/>
      <c r="DM134" s="15"/>
      <c r="DN134" s="15"/>
      <c r="DO134" s="15"/>
      <c r="DP134" s="15"/>
      <c r="DQ134" s="15"/>
      <c r="DR134" s="15"/>
      <c r="DS134" s="15"/>
      <c r="DT134" s="15"/>
      <c r="DU134" s="15"/>
      <c r="DV134" s="15"/>
      <c r="DW134" s="15"/>
      <c r="DX134" s="15"/>
      <c r="DY134" s="15"/>
      <c r="DZ134" s="15"/>
      <c r="EA134" s="15"/>
      <c r="EB134" s="15"/>
      <c r="EC134" s="15"/>
      <c r="ED134" s="15"/>
      <c r="EE134" s="15"/>
      <c r="EF134" s="15"/>
      <c r="EG134" s="15"/>
      <c r="EH134" s="15"/>
      <c r="EI134" s="15"/>
      <c r="EJ134" s="15"/>
      <c r="EK134" s="15"/>
      <c r="EL134" s="15"/>
      <c r="EM134" s="15"/>
      <c r="EN134" s="15"/>
      <c r="EO134" s="15"/>
      <c r="EP134" s="15"/>
      <c r="EQ134" s="15"/>
      <c r="ER134" s="15"/>
      <c r="ES134" s="15"/>
      <c r="ET134" s="15"/>
      <c r="EU134" s="15"/>
      <c r="EV134" s="15"/>
      <c r="EW134" s="15"/>
      <c r="EX134" s="15"/>
      <c r="EY134" s="15"/>
      <c r="EZ134" s="15"/>
      <c r="FA134" s="15"/>
      <c r="FB134" s="15"/>
      <c r="FC134" s="15"/>
      <c r="FD134" s="15"/>
      <c r="FE134" s="15"/>
      <c r="FF134" s="15"/>
      <c r="FG134" s="15"/>
      <c r="FH134" s="15"/>
      <c r="FI134" s="15"/>
      <c r="FJ134" s="15"/>
      <c r="FK134" s="15"/>
      <c r="FL134" s="15"/>
      <c r="FM134" s="15"/>
      <c r="FN134" s="15"/>
      <c r="FO134" s="15"/>
      <c r="FP134" s="15"/>
      <c r="FQ134" s="15"/>
      <c r="FR134" s="15"/>
      <c r="FS134" s="15"/>
      <c r="FT134" s="15"/>
      <c r="FU134" s="15"/>
      <c r="FV134" s="15"/>
      <c r="FW134" s="15"/>
      <c r="FX134" s="15"/>
      <c r="FY134" s="15"/>
      <c r="FZ134" s="15"/>
      <c r="GA134" s="15"/>
      <c r="GB134" s="15"/>
      <c r="GC134" s="15"/>
      <c r="GD134" s="15"/>
      <c r="GE134" s="15"/>
      <c r="GF134" s="15"/>
      <c r="GG134" s="15"/>
      <c r="GH134" s="15"/>
      <c r="GI134" s="15"/>
      <c r="GJ134" s="15"/>
      <c r="GK134" s="15"/>
      <c r="GL134" s="15"/>
      <c r="GM134" s="15"/>
      <c r="GN134" s="15"/>
      <c r="GO134" s="15"/>
      <c r="GP134" s="15"/>
      <c r="GQ134" s="15"/>
      <c r="GR134" s="15"/>
      <c r="GS134" s="15"/>
      <c r="GT134" s="15"/>
      <c r="GU134" s="15"/>
      <c r="GV134" s="15"/>
      <c r="GW134" s="15"/>
      <c r="GX134" s="15"/>
      <c r="GY134" s="15"/>
      <c r="GZ134" s="15"/>
      <c r="HA134" s="15"/>
      <c r="HB134" s="15"/>
      <c r="HC134" s="15"/>
      <c r="HD134" s="15"/>
      <c r="HE134" s="15"/>
      <c r="HF134" s="15"/>
      <c r="HG134" s="15"/>
      <c r="HH134" s="15"/>
      <c r="HI134" s="15"/>
      <c r="HJ134" s="15"/>
      <c r="HK134" s="15"/>
      <c r="HL134" s="15"/>
      <c r="HM134" s="15"/>
      <c r="HN134" s="15"/>
      <c r="HO134" s="15"/>
      <c r="HP134" s="15"/>
      <c r="HQ134" s="15"/>
      <c r="HR134" s="15"/>
      <c r="HS134" s="15"/>
      <c r="HT134" s="15"/>
      <c r="HU134" s="15"/>
      <c r="HV134" s="15"/>
      <c r="HW134" s="15"/>
      <c r="HX134" s="15"/>
      <c r="HY134" s="15"/>
      <c r="HZ134" s="15"/>
      <c r="IA134" s="15"/>
      <c r="IB134" s="15"/>
      <c r="IC134" s="15"/>
      <c r="ID134" s="15"/>
      <c r="IE134" s="15"/>
      <c r="IF134" s="15"/>
      <c r="IG134" s="15"/>
      <c r="IH134" s="15"/>
      <c r="II134" s="15"/>
      <c r="IJ134" s="15"/>
      <c r="IK134" s="15"/>
      <c r="IL134" s="15"/>
      <c r="IM134" s="15"/>
      <c r="IN134" s="15"/>
      <c r="IO134" s="15"/>
      <c r="IP134" s="15"/>
      <c r="IQ134" s="15"/>
      <c r="IR134" s="15"/>
      <c r="IS134" s="15"/>
      <c r="IT134" s="15"/>
      <c r="IU134" s="15"/>
      <c r="IV134" s="6"/>
    </row>
    <row r="135" s="6" customFormat="1" ht="15" customHeight="1" spans="1:256">
      <c r="A135" s="24">
        <f t="shared" si="21"/>
        <v>133</v>
      </c>
      <c r="B135" s="48" t="s">
        <v>181</v>
      </c>
      <c r="C135" s="48" t="s">
        <v>398</v>
      </c>
      <c r="D135" s="210" t="s">
        <v>399</v>
      </c>
      <c r="E135" s="48" t="s">
        <v>152</v>
      </c>
      <c r="F135" s="48">
        <v>41</v>
      </c>
      <c r="G135" s="26">
        <v>13912537050</v>
      </c>
      <c r="H135" s="54">
        <v>45308</v>
      </c>
      <c r="I135" s="50"/>
      <c r="J135" s="48" t="s">
        <v>22</v>
      </c>
      <c r="K135" s="48" t="s">
        <v>400</v>
      </c>
      <c r="L135" s="48" t="s">
        <v>153</v>
      </c>
      <c r="M135" s="48" t="s">
        <v>154</v>
      </c>
      <c r="N135" s="48"/>
      <c r="O135" s="52"/>
      <c r="P135" s="48" t="s">
        <v>358</v>
      </c>
      <c r="Q135" s="48" t="s">
        <v>111</v>
      </c>
      <c r="R135" s="48"/>
      <c r="S135" s="48" t="s">
        <v>111</v>
      </c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  <c r="EW135" s="9"/>
      <c r="EX135" s="9"/>
      <c r="EY135" s="9"/>
      <c r="EZ135" s="9"/>
      <c r="FA135" s="9"/>
      <c r="FB135" s="9"/>
      <c r="FC135" s="9"/>
      <c r="FD135" s="9"/>
      <c r="FE135" s="9"/>
      <c r="FF135" s="9"/>
      <c r="FG135" s="9"/>
      <c r="FH135" s="9"/>
      <c r="FI135" s="9"/>
      <c r="FJ135" s="9"/>
      <c r="FK135" s="9"/>
      <c r="FL135" s="9"/>
      <c r="FM135" s="9"/>
      <c r="FN135" s="9"/>
      <c r="FO135" s="9"/>
      <c r="FP135" s="9"/>
      <c r="FQ135" s="9"/>
      <c r="FR135" s="9"/>
      <c r="FS135" s="9"/>
      <c r="FT135" s="9"/>
      <c r="FU135" s="9"/>
      <c r="FV135" s="9"/>
      <c r="FW135" s="9"/>
      <c r="FX135" s="9"/>
      <c r="FY135" s="9"/>
      <c r="FZ135" s="9"/>
      <c r="GA135" s="9"/>
      <c r="GB135" s="9"/>
      <c r="GC135" s="9"/>
      <c r="GD135" s="9"/>
      <c r="GE135" s="9"/>
      <c r="GF135" s="9"/>
      <c r="GG135" s="9"/>
      <c r="GH135" s="9"/>
      <c r="GI135" s="9"/>
      <c r="GJ135" s="9"/>
      <c r="GK135" s="9"/>
      <c r="GL135" s="9"/>
      <c r="GM135" s="9"/>
      <c r="GN135" s="9"/>
      <c r="GO135" s="9"/>
      <c r="GP135" s="9"/>
      <c r="GQ135" s="9"/>
      <c r="GR135" s="9"/>
      <c r="GS135" s="9"/>
      <c r="GT135" s="9"/>
      <c r="GU135" s="9"/>
      <c r="GV135" s="9"/>
      <c r="GW135" s="9"/>
      <c r="GX135" s="9"/>
      <c r="GY135" s="9"/>
      <c r="GZ135" s="9"/>
      <c r="HA135" s="9"/>
      <c r="HB135" s="9"/>
      <c r="HC135" s="9"/>
      <c r="HD135" s="9"/>
      <c r="HE135" s="9"/>
      <c r="HF135" s="9"/>
      <c r="HG135" s="9"/>
      <c r="HH135" s="9"/>
      <c r="HI135" s="9"/>
      <c r="HJ135" s="9"/>
      <c r="HK135" s="9"/>
      <c r="HL135" s="9"/>
      <c r="HM135" s="9"/>
      <c r="HN135" s="9"/>
      <c r="HO135" s="9"/>
      <c r="HP135" s="9"/>
      <c r="HQ135" s="9"/>
      <c r="HR135" s="9"/>
      <c r="HS135" s="9"/>
      <c r="HT135" s="9"/>
      <c r="HU135" s="9"/>
      <c r="HV135" s="9"/>
      <c r="HW135" s="9"/>
      <c r="HX135" s="9"/>
      <c r="HY135" s="9"/>
      <c r="HZ135" s="9"/>
      <c r="IA135" s="9"/>
      <c r="IB135" s="9"/>
      <c r="IC135" s="9"/>
      <c r="ID135" s="9"/>
      <c r="IE135" s="9"/>
      <c r="IF135" s="9"/>
      <c r="IG135" s="9"/>
      <c r="IH135" s="9"/>
      <c r="II135" s="9"/>
      <c r="IJ135" s="9"/>
      <c r="IK135" s="9"/>
      <c r="IL135" s="9"/>
      <c r="IM135" s="9"/>
      <c r="IN135" s="9"/>
      <c r="IO135" s="9"/>
      <c r="IP135" s="9"/>
      <c r="IQ135" s="9"/>
      <c r="IR135" s="9"/>
      <c r="IS135" s="9"/>
      <c r="IT135" s="9"/>
      <c r="IU135" s="9"/>
    </row>
    <row r="136" s="6" customFormat="1" ht="18" customHeight="1" spans="1:256">
      <c r="A136" s="24">
        <f t="shared" si="21"/>
        <v>134</v>
      </c>
      <c r="B136" s="48" t="s">
        <v>401</v>
      </c>
      <c r="C136" s="48" t="s">
        <v>402</v>
      </c>
      <c r="D136" s="210" t="s">
        <v>403</v>
      </c>
      <c r="E136" s="48" t="s">
        <v>152</v>
      </c>
      <c r="F136" s="48">
        <v>51</v>
      </c>
      <c r="G136" s="55">
        <v>15862026631</v>
      </c>
      <c r="H136" s="54">
        <v>45313</v>
      </c>
      <c r="I136" s="50"/>
      <c r="J136" s="48" t="s">
        <v>22</v>
      </c>
      <c r="K136" s="48" t="s">
        <v>100</v>
      </c>
      <c r="L136" s="48" t="s">
        <v>153</v>
      </c>
      <c r="M136" s="48" t="s">
        <v>154</v>
      </c>
      <c r="N136" s="48"/>
      <c r="O136" s="52"/>
      <c r="P136" s="48" t="s">
        <v>358</v>
      </c>
      <c r="Q136" s="46" t="s">
        <v>111</v>
      </c>
      <c r="R136" s="48"/>
      <c r="S136" s="48" t="s">
        <v>111</v>
      </c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9"/>
      <c r="FE136" s="9"/>
      <c r="FF136" s="9"/>
      <c r="FG136" s="9"/>
      <c r="FH136" s="9"/>
      <c r="FI136" s="9"/>
      <c r="FJ136" s="9"/>
      <c r="FK136" s="9"/>
      <c r="FL136" s="9"/>
      <c r="FM136" s="9"/>
      <c r="FN136" s="9"/>
      <c r="FO136" s="9"/>
      <c r="FP136" s="9"/>
      <c r="FQ136" s="9"/>
      <c r="FR136" s="9"/>
      <c r="FS136" s="9"/>
      <c r="FT136" s="9"/>
      <c r="FU136" s="9"/>
      <c r="FV136" s="9"/>
      <c r="FW136" s="9"/>
      <c r="FX136" s="9"/>
      <c r="FY136" s="9"/>
      <c r="FZ136" s="9"/>
      <c r="GA136" s="9"/>
      <c r="GB136" s="9"/>
      <c r="GC136" s="9"/>
      <c r="GD136" s="9"/>
      <c r="GE136" s="9"/>
      <c r="GF136" s="9"/>
      <c r="GG136" s="9"/>
      <c r="GH136" s="9"/>
      <c r="GI136" s="9"/>
      <c r="GJ136" s="9"/>
      <c r="GK136" s="9"/>
      <c r="GL136" s="9"/>
      <c r="GM136" s="9"/>
      <c r="GN136" s="9"/>
      <c r="GO136" s="9"/>
      <c r="GP136" s="9"/>
      <c r="GQ136" s="9"/>
      <c r="GR136" s="9"/>
      <c r="GS136" s="9"/>
      <c r="GT136" s="9"/>
      <c r="GU136" s="9"/>
      <c r="GV136" s="9"/>
      <c r="GW136" s="9"/>
      <c r="GX136" s="9"/>
      <c r="GY136" s="9"/>
      <c r="GZ136" s="9"/>
      <c r="HA136" s="9"/>
      <c r="HB136" s="9"/>
      <c r="HC136" s="9"/>
      <c r="HD136" s="9"/>
      <c r="HE136" s="9"/>
      <c r="HF136" s="9"/>
      <c r="HG136" s="9"/>
      <c r="HH136" s="9"/>
      <c r="HI136" s="9"/>
      <c r="HJ136" s="9"/>
      <c r="HK136" s="9"/>
      <c r="HL136" s="9"/>
      <c r="HM136" s="9"/>
      <c r="HN136" s="9"/>
      <c r="HO136" s="9"/>
      <c r="HP136" s="9"/>
      <c r="HQ136" s="9"/>
      <c r="HR136" s="9"/>
      <c r="HS136" s="9"/>
      <c r="HT136" s="9"/>
      <c r="HU136" s="9"/>
      <c r="HV136" s="9"/>
      <c r="HW136" s="9"/>
      <c r="HX136" s="9"/>
      <c r="HY136" s="9"/>
      <c r="HZ136" s="9"/>
      <c r="IA136" s="9"/>
      <c r="IB136" s="9"/>
      <c r="IC136" s="9"/>
      <c r="ID136" s="9"/>
      <c r="IE136" s="9"/>
      <c r="IF136" s="9"/>
      <c r="IG136" s="9"/>
      <c r="IH136" s="9"/>
      <c r="II136" s="9"/>
      <c r="IJ136" s="9"/>
      <c r="IK136" s="9"/>
      <c r="IL136" s="9"/>
      <c r="IM136" s="9"/>
      <c r="IN136" s="9"/>
      <c r="IO136" s="9"/>
      <c r="IP136" s="9"/>
      <c r="IQ136" s="9"/>
      <c r="IR136" s="9"/>
      <c r="IS136" s="9"/>
      <c r="IT136" s="9"/>
      <c r="IU136" s="9"/>
    </row>
    <row r="137" s="6" customFormat="1" ht="18" customHeight="1" spans="1:256">
      <c r="A137" s="24">
        <f t="shared" si="21"/>
        <v>135</v>
      </c>
      <c r="B137" s="48" t="s">
        <v>261</v>
      </c>
      <c r="C137" s="48" t="s">
        <v>404</v>
      </c>
      <c r="D137" s="210" t="s">
        <v>405</v>
      </c>
      <c r="E137" s="48" t="s">
        <v>152</v>
      </c>
      <c r="F137" s="48">
        <v>47</v>
      </c>
      <c r="G137" s="55">
        <v>13962030291</v>
      </c>
      <c r="H137" s="50">
        <v>45313</v>
      </c>
      <c r="I137" s="50"/>
      <c r="J137" s="48" t="s">
        <v>22</v>
      </c>
      <c r="K137" s="48" t="s">
        <v>100</v>
      </c>
      <c r="L137" s="48" t="s">
        <v>153</v>
      </c>
      <c r="M137" s="48" t="s">
        <v>154</v>
      </c>
      <c r="N137" s="48"/>
      <c r="O137" s="52"/>
      <c r="P137" s="48" t="s">
        <v>358</v>
      </c>
      <c r="Q137" s="46" t="s">
        <v>111</v>
      </c>
      <c r="R137" s="48"/>
      <c r="S137" s="48" t="s">
        <v>111</v>
      </c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  <c r="EN137" s="9"/>
      <c r="EO137" s="9"/>
      <c r="EP137" s="9"/>
      <c r="EQ137" s="9"/>
      <c r="ER137" s="9"/>
      <c r="ES137" s="9"/>
      <c r="ET137" s="9"/>
      <c r="EU137" s="9"/>
      <c r="EV137" s="9"/>
      <c r="EW137" s="9"/>
      <c r="EX137" s="9"/>
      <c r="EY137" s="9"/>
      <c r="EZ137" s="9"/>
      <c r="FA137" s="9"/>
      <c r="FB137" s="9"/>
      <c r="FC137" s="9"/>
      <c r="FD137" s="9"/>
      <c r="FE137" s="9"/>
      <c r="FF137" s="9"/>
      <c r="FG137" s="9"/>
      <c r="FH137" s="9"/>
      <c r="FI137" s="9"/>
      <c r="FJ137" s="9"/>
      <c r="FK137" s="9"/>
      <c r="FL137" s="9"/>
      <c r="FM137" s="9"/>
      <c r="FN137" s="9"/>
      <c r="FO137" s="9"/>
      <c r="FP137" s="9"/>
      <c r="FQ137" s="9"/>
      <c r="FR137" s="9"/>
      <c r="FS137" s="9"/>
      <c r="FT137" s="9"/>
      <c r="FU137" s="9"/>
      <c r="FV137" s="9"/>
      <c r="FW137" s="9"/>
      <c r="FX137" s="9"/>
      <c r="FY137" s="9"/>
      <c r="FZ137" s="9"/>
      <c r="GA137" s="9"/>
      <c r="GB137" s="9"/>
      <c r="GC137" s="9"/>
      <c r="GD137" s="9"/>
      <c r="GE137" s="9"/>
      <c r="GF137" s="9"/>
      <c r="GG137" s="9"/>
      <c r="GH137" s="9"/>
      <c r="GI137" s="9"/>
      <c r="GJ137" s="9"/>
      <c r="GK137" s="9"/>
      <c r="GL137" s="9"/>
      <c r="GM137" s="9"/>
      <c r="GN137" s="9"/>
      <c r="GO137" s="9"/>
      <c r="GP137" s="9"/>
      <c r="GQ137" s="9"/>
      <c r="GR137" s="9"/>
      <c r="GS137" s="9"/>
      <c r="GT137" s="9"/>
      <c r="GU137" s="9"/>
      <c r="GV137" s="9"/>
      <c r="GW137" s="9"/>
      <c r="GX137" s="9"/>
      <c r="GY137" s="9"/>
      <c r="GZ137" s="9"/>
      <c r="HA137" s="9"/>
      <c r="HB137" s="9"/>
      <c r="HC137" s="9"/>
      <c r="HD137" s="9"/>
      <c r="HE137" s="9"/>
      <c r="HF137" s="9"/>
      <c r="HG137" s="9"/>
      <c r="HH137" s="9"/>
      <c r="HI137" s="9"/>
      <c r="HJ137" s="9"/>
      <c r="HK137" s="9"/>
      <c r="HL137" s="9"/>
      <c r="HM137" s="9"/>
      <c r="HN137" s="9"/>
      <c r="HO137" s="9"/>
      <c r="HP137" s="9"/>
      <c r="HQ137" s="9"/>
      <c r="HR137" s="9"/>
      <c r="HS137" s="9"/>
      <c r="HT137" s="9"/>
      <c r="HU137" s="9"/>
      <c r="HV137" s="9"/>
      <c r="HW137" s="9"/>
      <c r="HX137" s="9"/>
      <c r="HY137" s="9"/>
      <c r="HZ137" s="9"/>
      <c r="IA137" s="9"/>
      <c r="IB137" s="9"/>
      <c r="IC137" s="9"/>
      <c r="ID137" s="9"/>
      <c r="IE137" s="9"/>
      <c r="IF137" s="9"/>
      <c r="IG137" s="9"/>
      <c r="IH137" s="9"/>
      <c r="II137" s="9"/>
      <c r="IJ137" s="9"/>
      <c r="IK137" s="9"/>
      <c r="IL137" s="9"/>
      <c r="IM137" s="9"/>
      <c r="IN137" s="9"/>
      <c r="IO137" s="9"/>
      <c r="IP137" s="9"/>
      <c r="IQ137" s="9"/>
      <c r="IR137" s="9"/>
      <c r="IS137" s="9"/>
      <c r="IT137" s="9"/>
      <c r="IU137" s="9"/>
    </row>
    <row r="138" s="5" customFormat="1" ht="15" customHeight="1" spans="1:256">
      <c r="A138" s="24">
        <f t="shared" si="21"/>
        <v>136</v>
      </c>
      <c r="B138" s="48" t="s">
        <v>401</v>
      </c>
      <c r="C138" s="25" t="s">
        <v>406</v>
      </c>
      <c r="D138" s="25"/>
      <c r="E138" s="25" t="s">
        <v>152</v>
      </c>
      <c r="F138" s="24">
        <v>24</v>
      </c>
      <c r="G138" s="26">
        <v>13236139493</v>
      </c>
      <c r="H138" s="27">
        <v>45317</v>
      </c>
      <c r="I138" s="27"/>
      <c r="J138" s="25" t="s">
        <v>407</v>
      </c>
      <c r="K138" s="25" t="s">
        <v>333</v>
      </c>
      <c r="L138" s="25" t="s">
        <v>153</v>
      </c>
      <c r="M138" s="25" t="s">
        <v>154</v>
      </c>
      <c r="N138" s="24"/>
      <c r="O138" s="43"/>
      <c r="P138" s="30" t="s">
        <v>358</v>
      </c>
      <c r="Q138" s="46" t="s">
        <v>111</v>
      </c>
      <c r="R138" s="42"/>
      <c r="S138" s="42" t="s">
        <v>111</v>
      </c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  <c r="DF138" s="15"/>
      <c r="DG138" s="15"/>
      <c r="DH138" s="15"/>
      <c r="DI138" s="15"/>
      <c r="DJ138" s="15"/>
      <c r="DK138" s="15"/>
      <c r="DL138" s="15"/>
      <c r="DM138" s="15"/>
      <c r="DN138" s="15"/>
      <c r="DO138" s="15"/>
      <c r="DP138" s="15"/>
      <c r="DQ138" s="15"/>
      <c r="DR138" s="15"/>
      <c r="DS138" s="15"/>
      <c r="DT138" s="15"/>
      <c r="DU138" s="15"/>
      <c r="DV138" s="15"/>
      <c r="DW138" s="15"/>
      <c r="DX138" s="15"/>
      <c r="DY138" s="15"/>
      <c r="DZ138" s="15"/>
      <c r="EA138" s="15"/>
      <c r="EB138" s="15"/>
      <c r="EC138" s="15"/>
      <c r="ED138" s="15"/>
      <c r="EE138" s="15"/>
      <c r="EF138" s="15"/>
      <c r="EG138" s="15"/>
      <c r="EH138" s="15"/>
      <c r="EI138" s="15"/>
      <c r="EJ138" s="15"/>
      <c r="EK138" s="15"/>
      <c r="EL138" s="15"/>
      <c r="EM138" s="15"/>
      <c r="EN138" s="15"/>
      <c r="EO138" s="15"/>
      <c r="EP138" s="15"/>
      <c r="EQ138" s="15"/>
      <c r="ER138" s="15"/>
      <c r="ES138" s="15"/>
      <c r="ET138" s="15"/>
      <c r="EU138" s="15"/>
      <c r="EV138" s="15"/>
      <c r="EW138" s="15"/>
      <c r="EX138" s="15"/>
      <c r="EY138" s="15"/>
      <c r="EZ138" s="15"/>
      <c r="FA138" s="15"/>
      <c r="FB138" s="15"/>
      <c r="FC138" s="15"/>
      <c r="FD138" s="15"/>
      <c r="FE138" s="15"/>
      <c r="FF138" s="15"/>
      <c r="FG138" s="15"/>
      <c r="FH138" s="15"/>
      <c r="FI138" s="15"/>
      <c r="FJ138" s="15"/>
      <c r="FK138" s="15"/>
      <c r="FL138" s="15"/>
      <c r="FM138" s="15"/>
      <c r="FN138" s="15"/>
      <c r="FO138" s="15"/>
      <c r="FP138" s="15"/>
      <c r="FQ138" s="15"/>
      <c r="FR138" s="15"/>
      <c r="FS138" s="15"/>
      <c r="FT138" s="15"/>
      <c r="FU138" s="15"/>
      <c r="FV138" s="15"/>
      <c r="FW138" s="15"/>
      <c r="FX138" s="15"/>
      <c r="FY138" s="15"/>
      <c r="FZ138" s="15"/>
      <c r="GA138" s="15"/>
      <c r="GB138" s="15"/>
      <c r="GC138" s="15"/>
      <c r="GD138" s="15"/>
      <c r="GE138" s="15"/>
      <c r="GF138" s="15"/>
      <c r="GG138" s="15"/>
      <c r="GH138" s="15"/>
      <c r="GI138" s="15"/>
      <c r="GJ138" s="15"/>
      <c r="GK138" s="15"/>
      <c r="GL138" s="15"/>
      <c r="GM138" s="15"/>
      <c r="GN138" s="15"/>
      <c r="GO138" s="15"/>
      <c r="GP138" s="15"/>
      <c r="GQ138" s="15"/>
      <c r="GR138" s="15"/>
      <c r="GS138" s="15"/>
      <c r="GT138" s="15"/>
      <c r="GU138" s="15"/>
      <c r="GV138" s="15"/>
      <c r="GW138" s="15"/>
      <c r="GX138" s="15"/>
      <c r="GY138" s="15"/>
      <c r="GZ138" s="15"/>
      <c r="HA138" s="15"/>
      <c r="HB138" s="15"/>
      <c r="HC138" s="15"/>
      <c r="HD138" s="15"/>
      <c r="HE138" s="15"/>
      <c r="HF138" s="15"/>
      <c r="HG138" s="15"/>
      <c r="HH138" s="15"/>
      <c r="HI138" s="15"/>
      <c r="HJ138" s="15"/>
      <c r="HK138" s="15"/>
      <c r="HL138" s="15"/>
      <c r="HM138" s="15"/>
      <c r="HN138" s="15"/>
      <c r="HO138" s="15"/>
      <c r="HP138" s="15"/>
      <c r="HQ138" s="15"/>
      <c r="HR138" s="15"/>
      <c r="HS138" s="15"/>
      <c r="HT138" s="15"/>
      <c r="HU138" s="15"/>
      <c r="HV138" s="15"/>
      <c r="HW138" s="15"/>
      <c r="HX138" s="15"/>
      <c r="HY138" s="15"/>
      <c r="HZ138" s="15"/>
      <c r="IA138" s="15"/>
      <c r="IB138" s="15"/>
      <c r="IC138" s="15"/>
      <c r="ID138" s="15"/>
      <c r="IE138" s="15"/>
      <c r="IF138" s="15"/>
      <c r="IG138" s="15"/>
      <c r="IH138" s="15"/>
      <c r="II138" s="15"/>
      <c r="IJ138" s="15"/>
      <c r="IK138" s="15"/>
      <c r="IL138" s="15"/>
      <c r="IM138" s="15"/>
      <c r="IN138" s="15"/>
      <c r="IO138" s="15"/>
      <c r="IP138" s="15"/>
      <c r="IQ138" s="15"/>
      <c r="IR138" s="15"/>
      <c r="IS138" s="15"/>
      <c r="IT138" s="15"/>
      <c r="IU138" s="15"/>
      <c r="IV138" s="6"/>
    </row>
    <row r="139" s="5" customFormat="1" ht="15" customHeight="1" spans="1:256">
      <c r="A139" s="24">
        <f t="shared" si="21"/>
        <v>137</v>
      </c>
      <c r="B139" s="25" t="s">
        <v>408</v>
      </c>
      <c r="C139" s="25" t="s">
        <v>409</v>
      </c>
      <c r="D139" s="25" t="s">
        <v>410</v>
      </c>
      <c r="E139" s="25" t="str">
        <f>IF(MOD(MID(D139,17,1),2),"男","女")</f>
        <v>男</v>
      </c>
      <c r="F139" s="24">
        <f ca="1" t="shared" ref="F139:F143" si="23">YEAR(NOW())-MID(D139,7,4)</f>
        <v>62</v>
      </c>
      <c r="G139" s="28" t="s">
        <v>411</v>
      </c>
      <c r="H139" s="27">
        <v>44963</v>
      </c>
      <c r="I139" s="27"/>
      <c r="J139" s="25" t="s">
        <v>122</v>
      </c>
      <c r="K139" s="25" t="s">
        <v>123</v>
      </c>
      <c r="L139" s="25" t="str">
        <f ca="1" t="shared" ref="L139:L149" si="24">DATEDIF(H139,TODAY(),"Y")&amp;"年"&amp;DATEDIF(H139,TODAY(),"YM")&amp;"个月"</f>
        <v>3年2个月</v>
      </c>
      <c r="M139" s="25" t="s">
        <v>154</v>
      </c>
      <c r="N139" s="24"/>
      <c r="O139" s="43"/>
      <c r="P139" s="29" t="s">
        <v>101</v>
      </c>
      <c r="Q139" s="41" t="s">
        <v>102</v>
      </c>
      <c r="R139" s="42"/>
      <c r="S139" s="42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/>
      <c r="EJ139" s="15"/>
      <c r="EK139" s="15"/>
      <c r="EL139" s="15"/>
      <c r="EM139" s="15"/>
      <c r="EN139" s="15"/>
      <c r="EO139" s="15"/>
      <c r="EP139" s="15"/>
      <c r="EQ139" s="15"/>
      <c r="ER139" s="15"/>
      <c r="ES139" s="15"/>
      <c r="ET139" s="15"/>
      <c r="EU139" s="15"/>
      <c r="EV139" s="15"/>
      <c r="EW139" s="15"/>
      <c r="EX139" s="15"/>
      <c r="EY139" s="15"/>
      <c r="EZ139" s="15"/>
      <c r="FA139" s="15"/>
      <c r="FB139" s="15"/>
      <c r="FC139" s="15"/>
      <c r="FD139" s="15"/>
      <c r="FE139" s="15"/>
      <c r="FF139" s="15"/>
      <c r="FG139" s="15"/>
      <c r="FH139" s="15"/>
      <c r="FI139" s="15"/>
      <c r="FJ139" s="15"/>
      <c r="FK139" s="15"/>
      <c r="FL139" s="15"/>
      <c r="FM139" s="15"/>
      <c r="FN139" s="15"/>
      <c r="FO139" s="15"/>
      <c r="FP139" s="15"/>
      <c r="FQ139" s="15"/>
      <c r="FR139" s="15"/>
      <c r="FS139" s="15"/>
      <c r="FT139" s="15"/>
      <c r="FU139" s="15"/>
      <c r="FV139" s="15"/>
      <c r="FW139" s="15"/>
      <c r="FX139" s="15"/>
      <c r="FY139" s="15"/>
      <c r="FZ139" s="15"/>
      <c r="GA139" s="15"/>
      <c r="GB139" s="15"/>
      <c r="GC139" s="15"/>
      <c r="GD139" s="15"/>
      <c r="GE139" s="15"/>
      <c r="GF139" s="15"/>
      <c r="GG139" s="15"/>
      <c r="GH139" s="15"/>
      <c r="GI139" s="15"/>
      <c r="GJ139" s="15"/>
      <c r="GK139" s="15"/>
      <c r="GL139" s="15"/>
      <c r="GM139" s="15"/>
      <c r="GN139" s="15"/>
      <c r="GO139" s="15"/>
      <c r="GP139" s="15"/>
      <c r="GQ139" s="15"/>
      <c r="GR139" s="15"/>
      <c r="GS139" s="15"/>
      <c r="GT139" s="15"/>
      <c r="GU139" s="15"/>
      <c r="GV139" s="15"/>
      <c r="GW139" s="15"/>
      <c r="GX139" s="15"/>
      <c r="GY139" s="15"/>
      <c r="GZ139" s="15"/>
      <c r="HA139" s="15"/>
      <c r="HB139" s="15"/>
      <c r="HC139" s="15"/>
      <c r="HD139" s="15"/>
      <c r="HE139" s="15"/>
      <c r="HF139" s="15"/>
      <c r="HG139" s="15"/>
      <c r="HH139" s="15"/>
      <c r="HI139" s="15"/>
      <c r="HJ139" s="15"/>
      <c r="HK139" s="15"/>
      <c r="HL139" s="15"/>
      <c r="HM139" s="15"/>
      <c r="HN139" s="15"/>
      <c r="HO139" s="15"/>
      <c r="HP139" s="15"/>
      <c r="HQ139" s="15"/>
      <c r="HR139" s="15"/>
      <c r="HS139" s="15"/>
      <c r="HT139" s="15"/>
      <c r="HU139" s="15"/>
      <c r="HV139" s="15"/>
      <c r="HW139" s="15"/>
      <c r="HX139" s="15"/>
      <c r="HY139" s="15"/>
      <c r="HZ139" s="15"/>
      <c r="IA139" s="15"/>
      <c r="IB139" s="15"/>
      <c r="IC139" s="15"/>
      <c r="ID139" s="15"/>
      <c r="IE139" s="15"/>
      <c r="IF139" s="15"/>
      <c r="IG139" s="15"/>
      <c r="IH139" s="15"/>
      <c r="II139" s="15"/>
      <c r="IJ139" s="15"/>
      <c r="IK139" s="15"/>
      <c r="IL139" s="15"/>
      <c r="IM139" s="15"/>
      <c r="IN139" s="15"/>
      <c r="IO139" s="15"/>
      <c r="IP139" s="15"/>
      <c r="IQ139" s="15"/>
      <c r="IR139" s="15"/>
      <c r="IS139" s="15"/>
      <c r="IT139" s="15"/>
      <c r="IU139" s="15"/>
      <c r="IV139" s="6"/>
    </row>
    <row r="140" s="5" customFormat="1" ht="15" customHeight="1" spans="1:256">
      <c r="A140" s="24">
        <f t="shared" si="21"/>
        <v>138</v>
      </c>
      <c r="B140" s="48" t="s">
        <v>401</v>
      </c>
      <c r="C140" s="25" t="s">
        <v>412</v>
      </c>
      <c r="D140" s="205" t="s">
        <v>413</v>
      </c>
      <c r="E140" s="25" t="s">
        <v>152</v>
      </c>
      <c r="F140" s="24">
        <v>43</v>
      </c>
      <c r="G140" s="26">
        <v>18862056287</v>
      </c>
      <c r="H140" s="27">
        <v>45320</v>
      </c>
      <c r="I140" s="27"/>
      <c r="J140" s="25" t="s">
        <v>22</v>
      </c>
      <c r="K140" s="25" t="s">
        <v>100</v>
      </c>
      <c r="L140" s="25" t="s">
        <v>153</v>
      </c>
      <c r="M140" s="25" t="s">
        <v>154</v>
      </c>
      <c r="N140" s="24"/>
      <c r="O140" s="43"/>
      <c r="P140" s="30" t="s">
        <v>358</v>
      </c>
      <c r="Q140" s="41" t="s">
        <v>414</v>
      </c>
      <c r="R140" s="42"/>
      <c r="S140" s="42" t="s">
        <v>414</v>
      </c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  <c r="DF140" s="15"/>
      <c r="DG140" s="15"/>
      <c r="DH140" s="15"/>
      <c r="DI140" s="15"/>
      <c r="DJ140" s="15"/>
      <c r="DK140" s="15"/>
      <c r="DL140" s="15"/>
      <c r="DM140" s="15"/>
      <c r="DN140" s="15"/>
      <c r="DO140" s="15"/>
      <c r="DP140" s="15"/>
      <c r="DQ140" s="15"/>
      <c r="DR140" s="15"/>
      <c r="DS140" s="15"/>
      <c r="DT140" s="15"/>
      <c r="DU140" s="15"/>
      <c r="DV140" s="15"/>
      <c r="DW140" s="15"/>
      <c r="DX140" s="15"/>
      <c r="DY140" s="15"/>
      <c r="DZ140" s="15"/>
      <c r="EA140" s="15"/>
      <c r="EB140" s="15"/>
      <c r="EC140" s="15"/>
      <c r="ED140" s="15"/>
      <c r="EE140" s="15"/>
      <c r="EF140" s="15"/>
      <c r="EG140" s="15"/>
      <c r="EH140" s="15"/>
      <c r="EI140" s="15"/>
      <c r="EJ140" s="15"/>
      <c r="EK140" s="15"/>
      <c r="EL140" s="15"/>
      <c r="EM140" s="15"/>
      <c r="EN140" s="15"/>
      <c r="EO140" s="15"/>
      <c r="EP140" s="15"/>
      <c r="EQ140" s="15"/>
      <c r="ER140" s="15"/>
      <c r="ES140" s="15"/>
      <c r="ET140" s="15"/>
      <c r="EU140" s="15"/>
      <c r="EV140" s="15"/>
      <c r="EW140" s="15"/>
      <c r="EX140" s="15"/>
      <c r="EY140" s="15"/>
      <c r="EZ140" s="15"/>
      <c r="FA140" s="15"/>
      <c r="FB140" s="15"/>
      <c r="FC140" s="15"/>
      <c r="FD140" s="15"/>
      <c r="FE140" s="15"/>
      <c r="FF140" s="15"/>
      <c r="FG140" s="15"/>
      <c r="FH140" s="15"/>
      <c r="FI140" s="15"/>
      <c r="FJ140" s="15"/>
      <c r="FK140" s="15"/>
      <c r="FL140" s="15"/>
      <c r="FM140" s="15"/>
      <c r="FN140" s="15"/>
      <c r="FO140" s="15"/>
      <c r="FP140" s="15"/>
      <c r="FQ140" s="15"/>
      <c r="FR140" s="15"/>
      <c r="FS140" s="15"/>
      <c r="FT140" s="15"/>
      <c r="FU140" s="15"/>
      <c r="FV140" s="15"/>
      <c r="FW140" s="15"/>
      <c r="FX140" s="15"/>
      <c r="FY140" s="15"/>
      <c r="FZ140" s="15"/>
      <c r="GA140" s="15"/>
      <c r="GB140" s="15"/>
      <c r="GC140" s="15"/>
      <c r="GD140" s="15"/>
      <c r="GE140" s="15"/>
      <c r="GF140" s="15"/>
      <c r="GG140" s="15"/>
      <c r="GH140" s="15"/>
      <c r="GI140" s="15"/>
      <c r="GJ140" s="15"/>
      <c r="GK140" s="15"/>
      <c r="GL140" s="15"/>
      <c r="GM140" s="15"/>
      <c r="GN140" s="15"/>
      <c r="GO140" s="15"/>
      <c r="GP140" s="15"/>
      <c r="GQ140" s="15"/>
      <c r="GR140" s="15"/>
      <c r="GS140" s="15"/>
      <c r="GT140" s="15"/>
      <c r="GU140" s="15"/>
      <c r="GV140" s="15"/>
      <c r="GW140" s="15"/>
      <c r="GX140" s="15"/>
      <c r="GY140" s="15"/>
      <c r="GZ140" s="15"/>
      <c r="HA140" s="15"/>
      <c r="HB140" s="15"/>
      <c r="HC140" s="15"/>
      <c r="HD140" s="15"/>
      <c r="HE140" s="15"/>
      <c r="HF140" s="15"/>
      <c r="HG140" s="15"/>
      <c r="HH140" s="15"/>
      <c r="HI140" s="15"/>
      <c r="HJ140" s="15"/>
      <c r="HK140" s="15"/>
      <c r="HL140" s="15"/>
      <c r="HM140" s="15"/>
      <c r="HN140" s="15"/>
      <c r="HO140" s="15"/>
      <c r="HP140" s="15"/>
      <c r="HQ140" s="15"/>
      <c r="HR140" s="15"/>
      <c r="HS140" s="15"/>
      <c r="HT140" s="15"/>
      <c r="HU140" s="15"/>
      <c r="HV140" s="15"/>
      <c r="HW140" s="15"/>
      <c r="HX140" s="15"/>
      <c r="HY140" s="15"/>
      <c r="HZ140" s="15"/>
      <c r="IA140" s="15"/>
      <c r="IB140" s="15"/>
      <c r="IC140" s="15"/>
      <c r="ID140" s="15"/>
      <c r="IE140" s="15"/>
      <c r="IF140" s="15"/>
      <c r="IG140" s="15"/>
      <c r="IH140" s="15"/>
      <c r="II140" s="15"/>
      <c r="IJ140" s="15"/>
      <c r="IK140" s="15"/>
      <c r="IL140" s="15"/>
      <c r="IM140" s="15"/>
      <c r="IN140" s="15"/>
      <c r="IO140" s="15"/>
      <c r="IP140" s="15"/>
      <c r="IQ140" s="15"/>
      <c r="IR140" s="15"/>
      <c r="IS140" s="15"/>
      <c r="IT140" s="15"/>
      <c r="IU140" s="15"/>
      <c r="IV140" s="6"/>
    </row>
    <row r="141" s="6" customFormat="1" spans="1:256">
      <c r="A141" s="24">
        <f t="shared" si="21"/>
        <v>139</v>
      </c>
      <c r="B141" s="25" t="s">
        <v>106</v>
      </c>
      <c r="C141" s="48" t="s">
        <v>415</v>
      </c>
      <c r="D141" s="210" t="s">
        <v>416</v>
      </c>
      <c r="E141" s="48" t="s">
        <v>152</v>
      </c>
      <c r="F141" s="48">
        <f ca="1" t="shared" si="23"/>
        <v>37</v>
      </c>
      <c r="G141" s="55">
        <v>13337999300</v>
      </c>
      <c r="H141" s="54">
        <v>45289</v>
      </c>
      <c r="I141" s="48"/>
      <c r="J141" s="48" t="s">
        <v>227</v>
      </c>
      <c r="L141" s="25" t="str">
        <f ca="1" t="shared" si="24"/>
        <v>2年3个月</v>
      </c>
      <c r="M141" s="56" t="s">
        <v>154</v>
      </c>
      <c r="N141" s="48"/>
      <c r="O141" s="52"/>
      <c r="P141" s="48"/>
      <c r="Q141" s="48"/>
      <c r="R141" s="48"/>
      <c r="S141" s="48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  <c r="EN141" s="9"/>
      <c r="EO141" s="9"/>
      <c r="EP141" s="9"/>
      <c r="EQ141" s="9"/>
      <c r="ER141" s="9"/>
      <c r="ES141" s="9"/>
      <c r="ET141" s="9"/>
      <c r="EU141" s="9"/>
      <c r="EV141" s="9"/>
      <c r="EW141" s="9"/>
      <c r="EX141" s="9"/>
      <c r="EY141" s="9"/>
      <c r="EZ141" s="9"/>
      <c r="FA141" s="9"/>
      <c r="FB141" s="9"/>
      <c r="FC141" s="9"/>
      <c r="FD141" s="9"/>
      <c r="FE141" s="9"/>
      <c r="FF141" s="9"/>
      <c r="FG141" s="9"/>
      <c r="FH141" s="9"/>
      <c r="FI141" s="9"/>
      <c r="FJ141" s="9"/>
      <c r="FK141" s="9"/>
      <c r="FL141" s="9"/>
      <c r="FM141" s="9"/>
      <c r="FN141" s="9"/>
      <c r="FO141" s="9"/>
      <c r="FP141" s="9"/>
      <c r="FQ141" s="9"/>
      <c r="FR141" s="9"/>
      <c r="FS141" s="9"/>
      <c r="FT141" s="9"/>
      <c r="FU141" s="9"/>
      <c r="FV141" s="9"/>
      <c r="FW141" s="9"/>
      <c r="FX141" s="9"/>
      <c r="FY141" s="9"/>
      <c r="FZ141" s="9"/>
      <c r="GA141" s="9"/>
      <c r="GB141" s="9"/>
      <c r="GC141" s="9"/>
      <c r="GD141" s="9"/>
      <c r="GE141" s="9"/>
      <c r="GF141" s="9"/>
      <c r="GG141" s="9"/>
      <c r="GH141" s="9"/>
      <c r="GI141" s="9"/>
      <c r="GJ141" s="9"/>
      <c r="GK141" s="9"/>
      <c r="GL141" s="9"/>
      <c r="GM141" s="9"/>
      <c r="GN141" s="9"/>
      <c r="GO141" s="9"/>
      <c r="GP141" s="9"/>
      <c r="GQ141" s="9"/>
      <c r="GR141" s="9"/>
      <c r="GS141" s="9"/>
      <c r="GT141" s="9"/>
      <c r="GU141" s="9"/>
      <c r="GV141" s="9"/>
      <c r="GW141" s="9"/>
      <c r="GX141" s="9"/>
      <c r="GY141" s="9"/>
      <c r="GZ141" s="9"/>
      <c r="HA141" s="9"/>
      <c r="HB141" s="9"/>
      <c r="HC141" s="9"/>
      <c r="HD141" s="9"/>
      <c r="HE141" s="9"/>
      <c r="HF141" s="9"/>
      <c r="HG141" s="9"/>
      <c r="HH141" s="9"/>
      <c r="HI141" s="9"/>
      <c r="HJ141" s="9"/>
      <c r="HK141" s="9"/>
      <c r="HL141" s="9"/>
      <c r="HM141" s="9"/>
      <c r="HN141" s="9"/>
      <c r="HO141" s="9"/>
      <c r="HP141" s="9"/>
      <c r="HQ141" s="9"/>
      <c r="HR141" s="9"/>
      <c r="HS141" s="9"/>
      <c r="HT141" s="9"/>
      <c r="HU141" s="9"/>
      <c r="HV141" s="9"/>
      <c r="HW141" s="9"/>
      <c r="HX141" s="9"/>
      <c r="HY141" s="9"/>
      <c r="HZ141" s="9"/>
      <c r="IA141" s="9"/>
      <c r="IB141" s="9"/>
      <c r="IC141" s="9"/>
      <c r="ID141" s="9"/>
      <c r="IE141" s="9"/>
      <c r="IF141" s="9"/>
      <c r="IG141" s="9"/>
      <c r="IH141" s="9"/>
      <c r="II141" s="9"/>
      <c r="IJ141" s="9"/>
      <c r="IK141" s="9"/>
      <c r="IL141" s="9"/>
      <c r="IM141" s="9"/>
      <c r="IN141" s="9"/>
      <c r="IO141" s="9"/>
      <c r="IP141" s="9"/>
      <c r="IQ141" s="9"/>
      <c r="IR141" s="9"/>
      <c r="IS141" s="9"/>
    </row>
    <row r="142" s="5" customFormat="1" ht="15" customHeight="1" spans="1:256">
      <c r="A142" s="24">
        <f t="shared" si="21"/>
        <v>140</v>
      </c>
      <c r="B142" s="48" t="s">
        <v>261</v>
      </c>
      <c r="C142" s="25" t="s">
        <v>417</v>
      </c>
      <c r="D142" s="205" t="s">
        <v>418</v>
      </c>
      <c r="E142" s="25" t="s">
        <v>158</v>
      </c>
      <c r="F142" s="24">
        <v>40</v>
      </c>
      <c r="G142" s="26">
        <v>13400035451</v>
      </c>
      <c r="H142" s="27">
        <v>45320</v>
      </c>
      <c r="I142" s="27"/>
      <c r="J142" s="25" t="s">
        <v>22</v>
      </c>
      <c r="K142" s="25" t="s">
        <v>100</v>
      </c>
      <c r="L142" s="25" t="s">
        <v>153</v>
      </c>
      <c r="M142" s="25" t="s">
        <v>154</v>
      </c>
      <c r="N142" s="24" t="s">
        <v>316</v>
      </c>
      <c r="O142" s="43"/>
      <c r="P142" s="30" t="s">
        <v>358</v>
      </c>
      <c r="Q142" s="46" t="s">
        <v>111</v>
      </c>
      <c r="R142" s="42"/>
      <c r="S142" s="57" t="s">
        <v>414</v>
      </c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  <c r="DF142" s="15"/>
      <c r="DG142" s="15"/>
      <c r="DH142" s="15"/>
      <c r="DI142" s="15"/>
      <c r="DJ142" s="15"/>
      <c r="DK142" s="15"/>
      <c r="DL142" s="15"/>
      <c r="DM142" s="15"/>
      <c r="DN142" s="15"/>
      <c r="DO142" s="15"/>
      <c r="DP142" s="15"/>
      <c r="DQ142" s="15"/>
      <c r="DR142" s="15"/>
      <c r="DS142" s="15"/>
      <c r="DT142" s="15"/>
      <c r="DU142" s="15"/>
      <c r="DV142" s="15"/>
      <c r="DW142" s="15"/>
      <c r="DX142" s="15"/>
      <c r="DY142" s="15"/>
      <c r="DZ142" s="15"/>
      <c r="EA142" s="15"/>
      <c r="EB142" s="15"/>
      <c r="EC142" s="15"/>
      <c r="ED142" s="15"/>
      <c r="EE142" s="15"/>
      <c r="EF142" s="15"/>
      <c r="EG142" s="15"/>
      <c r="EH142" s="15"/>
      <c r="EI142" s="15"/>
      <c r="EJ142" s="15"/>
      <c r="EK142" s="15"/>
      <c r="EL142" s="15"/>
      <c r="EM142" s="15"/>
      <c r="EN142" s="15"/>
      <c r="EO142" s="15"/>
      <c r="EP142" s="15"/>
      <c r="EQ142" s="15"/>
      <c r="ER142" s="15"/>
      <c r="ES142" s="15"/>
      <c r="ET142" s="15"/>
      <c r="EU142" s="15"/>
      <c r="EV142" s="15"/>
      <c r="EW142" s="15"/>
      <c r="EX142" s="15"/>
      <c r="EY142" s="15"/>
      <c r="EZ142" s="15"/>
      <c r="FA142" s="15"/>
      <c r="FB142" s="15"/>
      <c r="FC142" s="15"/>
      <c r="FD142" s="15"/>
      <c r="FE142" s="15"/>
      <c r="FF142" s="15"/>
      <c r="FG142" s="15"/>
      <c r="FH142" s="15"/>
      <c r="FI142" s="15"/>
      <c r="FJ142" s="15"/>
      <c r="FK142" s="15"/>
      <c r="FL142" s="15"/>
      <c r="FM142" s="15"/>
      <c r="FN142" s="15"/>
      <c r="FO142" s="15"/>
      <c r="FP142" s="15"/>
      <c r="FQ142" s="15"/>
      <c r="FR142" s="15"/>
      <c r="FS142" s="15"/>
      <c r="FT142" s="15"/>
      <c r="FU142" s="15"/>
      <c r="FV142" s="15"/>
      <c r="FW142" s="15"/>
      <c r="FX142" s="15"/>
      <c r="FY142" s="15"/>
      <c r="FZ142" s="15"/>
      <c r="GA142" s="15"/>
      <c r="GB142" s="15"/>
      <c r="GC142" s="15"/>
      <c r="GD142" s="15"/>
      <c r="GE142" s="15"/>
      <c r="GF142" s="15"/>
      <c r="GG142" s="15"/>
      <c r="GH142" s="15"/>
      <c r="GI142" s="15"/>
      <c r="GJ142" s="15"/>
      <c r="GK142" s="15"/>
      <c r="GL142" s="15"/>
      <c r="GM142" s="15"/>
      <c r="GN142" s="15"/>
      <c r="GO142" s="15"/>
      <c r="GP142" s="15"/>
      <c r="GQ142" s="15"/>
      <c r="GR142" s="15"/>
      <c r="GS142" s="15"/>
      <c r="GT142" s="15"/>
      <c r="GU142" s="15"/>
      <c r="GV142" s="15"/>
      <c r="GW142" s="15"/>
      <c r="GX142" s="15"/>
      <c r="GY142" s="15"/>
      <c r="GZ142" s="15"/>
      <c r="HA142" s="15"/>
      <c r="HB142" s="15"/>
      <c r="HC142" s="15"/>
      <c r="HD142" s="15"/>
      <c r="HE142" s="15"/>
      <c r="HF142" s="15"/>
      <c r="HG142" s="15"/>
      <c r="HH142" s="15"/>
      <c r="HI142" s="15"/>
      <c r="HJ142" s="15"/>
      <c r="HK142" s="15"/>
      <c r="HL142" s="15"/>
      <c r="HM142" s="15"/>
      <c r="HN142" s="15"/>
      <c r="HO142" s="15"/>
      <c r="HP142" s="15"/>
      <c r="HQ142" s="15"/>
      <c r="HR142" s="15"/>
      <c r="HS142" s="15"/>
      <c r="HT142" s="15"/>
      <c r="HU142" s="15"/>
      <c r="HV142" s="15"/>
      <c r="HW142" s="15"/>
      <c r="HX142" s="15"/>
      <c r="HY142" s="15"/>
      <c r="HZ142" s="15"/>
      <c r="IA142" s="15"/>
      <c r="IB142" s="15"/>
      <c r="IC142" s="15"/>
      <c r="ID142" s="15"/>
      <c r="IE142" s="15"/>
      <c r="IF142" s="15"/>
      <c r="IG142" s="15"/>
      <c r="IH142" s="15"/>
      <c r="II142" s="15"/>
      <c r="IJ142" s="15"/>
      <c r="IK142" s="15"/>
      <c r="IL142" s="15"/>
      <c r="IM142" s="15"/>
      <c r="IN142" s="15"/>
      <c r="IO142" s="15"/>
      <c r="IP142" s="15"/>
      <c r="IQ142" s="15"/>
      <c r="IR142" s="15"/>
      <c r="IS142" s="15"/>
      <c r="IT142" s="15"/>
      <c r="IU142" s="15"/>
      <c r="IV142" s="6"/>
    </row>
    <row r="143" spans="1:256">
      <c r="A143" s="24">
        <f t="shared" si="21"/>
        <v>141</v>
      </c>
      <c r="C143" s="25" t="s">
        <v>419</v>
      </c>
      <c r="D143" s="205" t="s">
        <v>420</v>
      </c>
      <c r="E143" s="25" t="str">
        <f>IF(MOD(MID(D143,17,1),2),"男","女")</f>
        <v>女</v>
      </c>
      <c r="F143" s="24">
        <f ca="1" t="shared" si="23"/>
        <v>37</v>
      </c>
      <c r="G143" s="28">
        <v>15365686615</v>
      </c>
      <c r="H143" s="27">
        <v>44966</v>
      </c>
      <c r="I143" s="27"/>
      <c r="J143" s="25" t="s">
        <v>421</v>
      </c>
      <c r="K143" s="25" t="s">
        <v>168</v>
      </c>
      <c r="L143" s="25" t="str">
        <f ca="1" t="shared" si="24"/>
        <v>3年2个月</v>
      </c>
      <c r="M143" s="25" t="s">
        <v>154</v>
      </c>
    </row>
    <row r="144" spans="1:256">
      <c r="A144" s="24">
        <f t="shared" si="21"/>
        <v>142</v>
      </c>
      <c r="C144" s="48" t="s">
        <v>422</v>
      </c>
      <c r="D144" s="210" t="s">
        <v>423</v>
      </c>
      <c r="E144" s="48" t="s">
        <v>152</v>
      </c>
      <c r="F144" s="48">
        <v>34</v>
      </c>
      <c r="G144" s="55">
        <v>15261907553</v>
      </c>
      <c r="H144" s="54">
        <v>45307</v>
      </c>
      <c r="I144" s="50"/>
      <c r="J144" s="48" t="s">
        <v>22</v>
      </c>
      <c r="K144" s="48" t="s">
        <v>400</v>
      </c>
      <c r="L144" s="47" t="str">
        <f ca="1" t="shared" si="24"/>
        <v>2年2个月</v>
      </c>
      <c r="M144" s="51" t="s">
        <v>154</v>
      </c>
      <c r="R144" s="48"/>
      <c r="S144" s="42" t="s">
        <v>111</v>
      </c>
    </row>
    <row r="145" spans="1:19">
      <c r="A145" s="24">
        <f t="shared" si="21"/>
        <v>143</v>
      </c>
      <c r="C145" s="48" t="s">
        <v>424</v>
      </c>
      <c r="D145" s="210" t="s">
        <v>425</v>
      </c>
      <c r="E145" s="48" t="s">
        <v>152</v>
      </c>
      <c r="F145" s="48">
        <v>38</v>
      </c>
      <c r="G145" s="55">
        <v>18616293771</v>
      </c>
      <c r="H145" s="49">
        <v>45303</v>
      </c>
      <c r="I145" s="50"/>
      <c r="J145" s="48" t="s">
        <v>421</v>
      </c>
      <c r="K145" s="48" t="s">
        <v>227</v>
      </c>
      <c r="L145" s="47" t="str">
        <f ca="1" t="shared" si="24"/>
        <v>2年3个月</v>
      </c>
      <c r="M145" s="51" t="s">
        <v>154</v>
      </c>
      <c r="O145" s="43"/>
      <c r="P145" s="30" t="s">
        <v>358</v>
      </c>
      <c r="Q145" s="46" t="s">
        <v>111</v>
      </c>
      <c r="R145" s="48"/>
      <c r="S145" s="42" t="s">
        <v>111</v>
      </c>
    </row>
    <row r="146" spans="1:19">
      <c r="A146" s="24">
        <f t="shared" si="21"/>
        <v>144</v>
      </c>
      <c r="C146" s="48" t="s">
        <v>426</v>
      </c>
      <c r="D146" s="210" t="s">
        <v>427</v>
      </c>
      <c r="E146" s="48" t="s">
        <v>152</v>
      </c>
      <c r="F146" s="48">
        <v>34</v>
      </c>
      <c r="G146" s="55">
        <v>13739179709</v>
      </c>
      <c r="H146" s="27">
        <v>45341</v>
      </c>
      <c r="I146" s="50"/>
      <c r="J146" s="48" t="s">
        <v>22</v>
      </c>
      <c r="K146" s="48" t="s">
        <v>348</v>
      </c>
      <c r="L146" s="47" t="str">
        <f ca="1" t="shared" si="24"/>
        <v>2年1个月</v>
      </c>
      <c r="M146" s="25" t="s">
        <v>154</v>
      </c>
      <c r="N146" s="58" t="s">
        <v>428</v>
      </c>
      <c r="O146" s="43"/>
      <c r="P146" s="30" t="s">
        <v>358</v>
      </c>
      <c r="Q146" s="46" t="s">
        <v>111</v>
      </c>
    </row>
    <row r="147" spans="1:19">
      <c r="A147" s="24">
        <f t="shared" si="21"/>
        <v>145</v>
      </c>
      <c r="C147" s="48" t="s">
        <v>429</v>
      </c>
      <c r="D147" s="210" t="s">
        <v>430</v>
      </c>
      <c r="E147" s="48" t="s">
        <v>152</v>
      </c>
      <c r="F147" s="48">
        <v>35</v>
      </c>
      <c r="G147" s="55">
        <v>15261902950</v>
      </c>
      <c r="H147" s="27">
        <v>45341</v>
      </c>
      <c r="I147" s="50"/>
      <c r="J147" s="48" t="s">
        <v>22</v>
      </c>
      <c r="K147" s="48" t="s">
        <v>348</v>
      </c>
      <c r="L147" s="47" t="str">
        <f ca="1" t="shared" si="24"/>
        <v>2年1个月</v>
      </c>
      <c r="M147" s="25" t="s">
        <v>154</v>
      </c>
      <c r="N147" s="58" t="s">
        <v>428</v>
      </c>
    </row>
    <row r="148" spans="1:19">
      <c r="A148" s="24">
        <f t="shared" si="21"/>
        <v>146</v>
      </c>
      <c r="C148" s="48" t="s">
        <v>431</v>
      </c>
      <c r="D148" s="210" t="s">
        <v>432</v>
      </c>
      <c r="E148" s="48" t="s">
        <v>158</v>
      </c>
      <c r="F148" s="48">
        <v>53</v>
      </c>
      <c r="G148" s="55"/>
      <c r="H148" s="27">
        <v>45341</v>
      </c>
      <c r="I148" s="50"/>
      <c r="J148" s="48" t="s">
        <v>351</v>
      </c>
      <c r="K148" s="48" t="s">
        <v>115</v>
      </c>
      <c r="L148" s="47" t="str">
        <f ca="1" t="shared" si="24"/>
        <v>2年1个月</v>
      </c>
      <c r="M148" s="25" t="s">
        <v>154</v>
      </c>
      <c r="N148" s="59" t="s">
        <v>433</v>
      </c>
    </row>
    <row r="149" spans="1:19">
      <c r="A149" s="24">
        <f t="shared" si="21"/>
        <v>147</v>
      </c>
      <c r="C149" s="48" t="s">
        <v>434</v>
      </c>
      <c r="D149" s="210" t="s">
        <v>435</v>
      </c>
      <c r="E149" s="48" t="s">
        <v>158</v>
      </c>
      <c r="F149" s="48">
        <v>52</v>
      </c>
      <c r="G149" s="55">
        <v>18761293257</v>
      </c>
      <c r="H149" s="50">
        <v>45342</v>
      </c>
      <c r="I149" s="50"/>
      <c r="J149" s="48" t="s">
        <v>351</v>
      </c>
      <c r="K149" s="48" t="s">
        <v>115</v>
      </c>
      <c r="L149" s="47" t="str">
        <f ca="1" t="shared" si="24"/>
        <v>2年1个月</v>
      </c>
      <c r="M149" s="48" t="s">
        <v>154</v>
      </c>
      <c r="N149" s="59" t="s">
        <v>433</v>
      </c>
    </row>
    <row r="150" ht="19" customHeight="1" spans="1:19">
      <c r="A150" s="24">
        <f t="shared" si="21"/>
        <v>148</v>
      </c>
      <c r="C150" s="48" t="s">
        <v>436</v>
      </c>
      <c r="D150" s="210" t="s">
        <v>437</v>
      </c>
      <c r="E150" s="48" t="s">
        <v>158</v>
      </c>
      <c r="F150" s="48">
        <v>54</v>
      </c>
      <c r="G150" s="55"/>
      <c r="H150" s="50"/>
      <c r="I150" s="50"/>
      <c r="J150" s="48" t="s">
        <v>351</v>
      </c>
      <c r="K150" s="48"/>
      <c r="L150" s="47"/>
      <c r="M150" s="48" t="s">
        <v>154</v>
      </c>
    </row>
    <row r="151" spans="1:19">
      <c r="A151" s="24">
        <f t="shared" si="21"/>
        <v>149</v>
      </c>
      <c r="C151" s="48" t="s">
        <v>438</v>
      </c>
      <c r="D151" s="210" t="s">
        <v>439</v>
      </c>
      <c r="E151" s="48" t="s">
        <v>152</v>
      </c>
      <c r="F151" s="48">
        <v>44</v>
      </c>
      <c r="G151" s="48">
        <v>15950348908</v>
      </c>
      <c r="H151" s="54">
        <v>45349</v>
      </c>
      <c r="I151" s="60"/>
      <c r="J151" s="48" t="s">
        <v>22</v>
      </c>
      <c r="K151" s="48" t="s">
        <v>100</v>
      </c>
      <c r="L151" s="47" t="str">
        <f ca="1" t="shared" ref="L151:L159" si="25">DATEDIF(H151,TODAY(),"Y")&amp;"年"&amp;DATEDIF(H151,TODAY(),"YM")&amp;"个月"</f>
        <v>2年1个月</v>
      </c>
      <c r="M151" s="48" t="s">
        <v>154</v>
      </c>
    </row>
    <row r="152" spans="1:19">
      <c r="A152" s="24">
        <f t="shared" si="21"/>
        <v>150</v>
      </c>
      <c r="C152" s="48" t="s">
        <v>440</v>
      </c>
      <c r="D152" s="210" t="s">
        <v>441</v>
      </c>
      <c r="E152" s="48" t="s">
        <v>152</v>
      </c>
      <c r="F152" s="48">
        <v>49</v>
      </c>
      <c r="G152" s="55">
        <v>13962024213</v>
      </c>
      <c r="H152" s="50">
        <v>45352</v>
      </c>
      <c r="I152" s="50"/>
      <c r="J152" s="48" t="s">
        <v>22</v>
      </c>
      <c r="K152" s="48" t="s">
        <v>400</v>
      </c>
      <c r="L152" s="47" t="str">
        <f ca="1" t="shared" si="25"/>
        <v>2年1个月</v>
      </c>
    </row>
    <row r="153" spans="1:19">
      <c r="A153" s="24">
        <f t="shared" si="21"/>
        <v>151</v>
      </c>
      <c r="C153" s="48" t="s">
        <v>442</v>
      </c>
      <c r="D153" s="48"/>
      <c r="E153" s="48"/>
      <c r="F153" s="48"/>
      <c r="G153" s="55">
        <v>13505119856</v>
      </c>
      <c r="H153" s="50">
        <v>45355</v>
      </c>
      <c r="I153" s="50"/>
      <c r="J153" s="48" t="s">
        <v>316</v>
      </c>
      <c r="K153" s="48" t="s">
        <v>443</v>
      </c>
      <c r="L153" s="47" t="str">
        <f ca="1" t="shared" si="25"/>
        <v>2年1个月</v>
      </c>
      <c r="M153" s="48" t="s">
        <v>154</v>
      </c>
    </row>
    <row r="154" spans="1:19">
      <c r="A154" s="24">
        <f t="shared" si="21"/>
        <v>152</v>
      </c>
      <c r="C154" s="48" t="s">
        <v>444</v>
      </c>
      <c r="D154" s="210" t="s">
        <v>445</v>
      </c>
      <c r="E154" s="48" t="s">
        <v>158</v>
      </c>
      <c r="F154" s="48"/>
      <c r="G154" s="55">
        <v>18796550829</v>
      </c>
      <c r="H154" s="50">
        <v>45355</v>
      </c>
      <c r="I154" s="50"/>
      <c r="J154" s="48" t="s">
        <v>316</v>
      </c>
      <c r="K154" s="48" t="s">
        <v>443</v>
      </c>
      <c r="L154" s="47" t="str">
        <f ca="1" t="shared" si="25"/>
        <v>2年1个月</v>
      </c>
      <c r="M154" s="48" t="s">
        <v>154</v>
      </c>
    </row>
    <row r="155" spans="1:19">
      <c r="A155" s="24">
        <f t="shared" si="21"/>
        <v>153</v>
      </c>
      <c r="C155" s="48" t="s">
        <v>446</v>
      </c>
      <c r="D155" s="210" t="s">
        <v>447</v>
      </c>
      <c r="E155" s="48" t="s">
        <v>152</v>
      </c>
      <c r="F155" s="48">
        <v>53</v>
      </c>
      <c r="G155" s="48">
        <v>18361188102</v>
      </c>
      <c r="H155" s="54">
        <v>45352</v>
      </c>
      <c r="I155" s="60"/>
      <c r="J155" s="48" t="s">
        <v>22</v>
      </c>
      <c r="K155" s="48" t="s">
        <v>400</v>
      </c>
      <c r="L155" s="47" t="str">
        <f ca="1" t="shared" si="25"/>
        <v>2年1个月</v>
      </c>
      <c r="M155" s="48" t="s">
        <v>154</v>
      </c>
    </row>
    <row r="156" spans="1:19">
      <c r="A156" s="24">
        <f t="shared" si="21"/>
        <v>154</v>
      </c>
      <c r="C156" s="48" t="s">
        <v>448</v>
      </c>
      <c r="D156" s="210" t="s">
        <v>449</v>
      </c>
      <c r="E156" s="48" t="s">
        <v>152</v>
      </c>
      <c r="F156" s="48">
        <v>44</v>
      </c>
      <c r="G156" s="55">
        <v>15061660304</v>
      </c>
      <c r="H156" s="50">
        <v>45352</v>
      </c>
      <c r="I156" s="50"/>
      <c r="J156" s="48" t="s">
        <v>22</v>
      </c>
      <c r="K156" s="48" t="s">
        <v>400</v>
      </c>
      <c r="L156" s="47" t="str">
        <f ca="1" t="shared" si="25"/>
        <v>2年1个月</v>
      </c>
      <c r="M156" s="48" t="s">
        <v>154</v>
      </c>
    </row>
    <row r="157" spans="1:19">
      <c r="A157" s="24">
        <f t="shared" si="21"/>
        <v>155</v>
      </c>
      <c r="C157" s="48" t="s">
        <v>450</v>
      </c>
      <c r="D157" s="210" t="s">
        <v>451</v>
      </c>
      <c r="E157" s="48" t="s">
        <v>152</v>
      </c>
      <c r="F157" s="48">
        <v>42</v>
      </c>
      <c r="G157" s="55">
        <v>13813229871</v>
      </c>
      <c r="H157" s="50">
        <v>45355</v>
      </c>
      <c r="I157" s="50"/>
      <c r="J157" s="48" t="s">
        <v>22</v>
      </c>
      <c r="K157" s="48" t="s">
        <v>452</v>
      </c>
      <c r="L157" s="47" t="str">
        <f ca="1" t="shared" si="25"/>
        <v>2年1个月</v>
      </c>
      <c r="M157" s="48" t="s">
        <v>154</v>
      </c>
    </row>
    <row r="158" spans="1:19">
      <c r="A158" s="24">
        <f t="shared" si="21"/>
        <v>156</v>
      </c>
      <c r="C158" s="48" t="s">
        <v>453</v>
      </c>
      <c r="D158" s="48" t="s">
        <v>454</v>
      </c>
      <c r="E158" s="48" t="s">
        <v>152</v>
      </c>
      <c r="F158" s="60"/>
      <c r="G158" s="48">
        <v>18268383811</v>
      </c>
      <c r="H158" s="54">
        <v>45358</v>
      </c>
      <c r="I158" s="60"/>
      <c r="J158" s="48" t="s">
        <v>22</v>
      </c>
      <c r="K158" s="48" t="s">
        <v>452</v>
      </c>
      <c r="L158" s="47" t="str">
        <f ca="1" t="shared" si="25"/>
        <v>2年1个月</v>
      </c>
    </row>
    <row r="159" spans="1:19">
      <c r="A159" s="24">
        <f t="shared" si="21"/>
        <v>157</v>
      </c>
      <c r="C159" s="48" t="s">
        <v>455</v>
      </c>
      <c r="D159" s="210" t="s">
        <v>456</v>
      </c>
      <c r="E159" s="48" t="s">
        <v>152</v>
      </c>
      <c r="F159" s="48">
        <v>38</v>
      </c>
      <c r="G159" s="48">
        <v>13218659051</v>
      </c>
      <c r="H159" s="54">
        <v>45358</v>
      </c>
      <c r="I159" s="60"/>
      <c r="J159" s="48" t="s">
        <v>22</v>
      </c>
      <c r="K159" s="48" t="s">
        <v>452</v>
      </c>
      <c r="L159" s="47" t="str">
        <f ca="1" t="shared" si="25"/>
        <v>2年1个月</v>
      </c>
    </row>
    <row r="160" spans="1:19">
      <c r="A160" s="24">
        <f t="shared" si="21"/>
        <v>158</v>
      </c>
      <c r="C160" s="61" t="s">
        <v>457</v>
      </c>
      <c r="D160" s="211" t="s">
        <v>458</v>
      </c>
      <c r="E160" s="25" t="s">
        <v>158</v>
      </c>
      <c r="F160" s="24">
        <f ca="1">YEAR(NOW())-MID(D160,7,4)</f>
        <v>37</v>
      </c>
      <c r="G160" s="26">
        <v>18071650922</v>
      </c>
      <c r="H160" s="27">
        <v>45176</v>
      </c>
      <c r="I160" s="31" t="s">
        <v>459</v>
      </c>
      <c r="J160" s="48" t="s">
        <v>22</v>
      </c>
      <c r="K160" s="48" t="s">
        <v>460</v>
      </c>
      <c r="L160" s="47" t="str">
        <f ca="1" t="shared" ref="L160:L166" si="26">DATEDIF(H162,TODAY(),"Y")&amp;"年"&amp;DATEDIF(H162,TODAY(),"YM")&amp;"个月"</f>
        <v>2年1个月</v>
      </c>
      <c r="M160" s="48" t="s">
        <v>154</v>
      </c>
    </row>
    <row r="161" spans="1:256">
      <c r="A161" s="24">
        <f t="shared" si="21"/>
        <v>159</v>
      </c>
      <c r="C161" s="25" t="s">
        <v>461</v>
      </c>
      <c r="D161" s="205" t="s">
        <v>462</v>
      </c>
      <c r="E161" s="25" t="str">
        <f>IF(MOD(MID(D161,17,1),2),"男","女")</f>
        <v>男</v>
      </c>
      <c r="F161" s="24">
        <f ca="1">YEAR(NOW())-MID(D161,7,4)</f>
        <v>37</v>
      </c>
      <c r="G161" s="26">
        <v>13485219709</v>
      </c>
      <c r="H161" s="27">
        <v>44774</v>
      </c>
      <c r="I161" s="31" t="s">
        <v>463</v>
      </c>
      <c r="J161" s="48" t="s">
        <v>22</v>
      </c>
      <c r="K161" s="48" t="s">
        <v>168</v>
      </c>
      <c r="L161" s="47" t="str">
        <f ca="1" t="shared" si="26"/>
        <v>2年1个月</v>
      </c>
      <c r="M161" s="48" t="s">
        <v>154</v>
      </c>
    </row>
    <row r="162" spans="1:256">
      <c r="A162" s="24">
        <f t="shared" si="21"/>
        <v>160</v>
      </c>
      <c r="C162" s="48" t="s">
        <v>464</v>
      </c>
      <c r="D162" s="210" t="s">
        <v>465</v>
      </c>
      <c r="E162" s="48" t="s">
        <v>152</v>
      </c>
      <c r="F162" s="48">
        <v>32</v>
      </c>
      <c r="G162" s="48">
        <v>18061864831</v>
      </c>
      <c r="H162" s="54">
        <v>45356</v>
      </c>
      <c r="I162" s="31" t="s">
        <v>459</v>
      </c>
      <c r="J162" s="48" t="s">
        <v>22</v>
      </c>
      <c r="K162" s="48" t="s">
        <v>452</v>
      </c>
      <c r="L162" s="47" t="str">
        <f ca="1" t="shared" si="26"/>
        <v>2年1个月</v>
      </c>
      <c r="M162" s="48" t="s">
        <v>154</v>
      </c>
    </row>
    <row r="163" spans="1:256">
      <c r="A163" s="24">
        <f t="shared" si="21"/>
        <v>161</v>
      </c>
      <c r="C163" s="48" t="s">
        <v>466</v>
      </c>
      <c r="D163" s="210" t="s">
        <v>467</v>
      </c>
      <c r="E163" s="48" t="s">
        <v>158</v>
      </c>
      <c r="F163" s="48">
        <v>34</v>
      </c>
      <c r="G163" s="55">
        <v>13815557002</v>
      </c>
      <c r="H163" s="50">
        <v>45356</v>
      </c>
      <c r="I163" s="31" t="s">
        <v>468</v>
      </c>
      <c r="J163" s="48" t="s">
        <v>22</v>
      </c>
      <c r="K163" s="48" t="s">
        <v>469</v>
      </c>
      <c r="L163" s="47" t="str">
        <f ca="1" t="shared" si="26"/>
        <v>2年1个月</v>
      </c>
    </row>
    <row r="164" spans="1:256">
      <c r="A164" s="24">
        <f t="shared" si="21"/>
        <v>162</v>
      </c>
      <c r="C164" s="9" t="s">
        <v>470</v>
      </c>
      <c r="D164" s="212" t="s">
        <v>471</v>
      </c>
      <c r="E164" s="48" t="s">
        <v>152</v>
      </c>
      <c r="F164" s="48">
        <v>48</v>
      </c>
      <c r="G164" s="48">
        <v>13770212773</v>
      </c>
      <c r="H164" s="54">
        <v>45350</v>
      </c>
      <c r="I164" s="31" t="s">
        <v>468</v>
      </c>
      <c r="J164" s="48" t="s">
        <v>22</v>
      </c>
      <c r="K164" s="48" t="s">
        <v>168</v>
      </c>
      <c r="L164" s="47" t="str">
        <f ca="1" t="shared" si="26"/>
        <v>2年1个月</v>
      </c>
      <c r="M164" s="48" t="s">
        <v>154</v>
      </c>
    </row>
    <row r="165" spans="1:256">
      <c r="A165" s="24">
        <f t="shared" si="21"/>
        <v>163</v>
      </c>
      <c r="C165" s="48" t="s">
        <v>472</v>
      </c>
      <c r="D165" s="210" t="s">
        <v>473</v>
      </c>
      <c r="E165" s="48" t="s">
        <v>158</v>
      </c>
      <c r="F165" s="48">
        <v>26</v>
      </c>
      <c r="G165" s="55">
        <v>13056171403</v>
      </c>
      <c r="H165" s="50">
        <v>45357</v>
      </c>
      <c r="I165" s="31" t="s">
        <v>474</v>
      </c>
      <c r="J165" s="25" t="s">
        <v>22</v>
      </c>
      <c r="K165" s="25"/>
      <c r="L165" s="25" t="str">
        <f ca="1" t="shared" si="26"/>
        <v>2年10个月</v>
      </c>
      <c r="M165" s="25" t="s">
        <v>154</v>
      </c>
    </row>
    <row r="166" spans="1:256">
      <c r="A166" s="24">
        <f t="shared" si="21"/>
        <v>164</v>
      </c>
      <c r="C166" s="48" t="s">
        <v>475</v>
      </c>
      <c r="D166" s="210" t="s">
        <v>476</v>
      </c>
      <c r="E166" s="48" t="s">
        <v>152</v>
      </c>
      <c r="F166" s="48">
        <v>27</v>
      </c>
      <c r="G166" s="55">
        <v>15285136053</v>
      </c>
      <c r="H166" s="50">
        <v>45353</v>
      </c>
      <c r="I166" s="31" t="s">
        <v>477</v>
      </c>
      <c r="J166" s="25" t="s">
        <v>22</v>
      </c>
      <c r="K166" s="25"/>
      <c r="L166" s="25" t="str">
        <f ca="1" t="shared" si="26"/>
        <v>3年10个月</v>
      </c>
      <c r="M166" s="25" t="s">
        <v>154</v>
      </c>
    </row>
    <row r="167" spans="1:256">
      <c r="A167" s="24">
        <f t="shared" si="21"/>
        <v>165</v>
      </c>
      <c r="C167" s="25" t="s">
        <v>478</v>
      </c>
      <c r="D167" s="205" t="s">
        <v>479</v>
      </c>
      <c r="E167" s="25" t="str">
        <f t="shared" ref="E167:E172" si="27">IF(MOD(MID(D167,17,1),2),"男","女")</f>
        <v>女</v>
      </c>
      <c r="F167" s="24">
        <f ca="1" t="shared" ref="F167:F172" si="28">YEAR(NOW())-MID(D167,7,4)</f>
        <v>36</v>
      </c>
      <c r="G167" s="26">
        <v>18752238773</v>
      </c>
      <c r="H167" s="27">
        <v>45061</v>
      </c>
      <c r="I167" s="31" t="s">
        <v>480</v>
      </c>
      <c r="J167" s="48" t="s">
        <v>481</v>
      </c>
      <c r="K167" s="9"/>
      <c r="L167" s="47"/>
      <c r="M167" s="25" t="s">
        <v>154</v>
      </c>
      <c r="N167" s="48"/>
      <c r="O167" s="43" t="s">
        <v>482</v>
      </c>
    </row>
    <row r="168" spans="1:256">
      <c r="C168" s="25" t="s">
        <v>426</v>
      </c>
      <c r="D168" s="25" t="s">
        <v>483</v>
      </c>
      <c r="E168" s="25" t="str">
        <f t="shared" si="27"/>
        <v>女</v>
      </c>
      <c r="F168" s="24">
        <f ca="1" t="shared" si="28"/>
        <v>41</v>
      </c>
      <c r="G168" s="28" t="s">
        <v>484</v>
      </c>
      <c r="H168" s="27">
        <v>44713</v>
      </c>
      <c r="I168" s="31" t="s">
        <v>485</v>
      </c>
      <c r="J168" s="48" t="s">
        <v>22</v>
      </c>
      <c r="K168" s="48"/>
      <c r="L168" s="47" t="str">
        <f ca="1">DATEDIF(H170,TODAY(),"Y")&amp;"年"&amp;DATEDIF(H170,TODAY(),"YM")&amp;"个月"</f>
        <v>2年1个月</v>
      </c>
      <c r="M168" s="48" t="s">
        <v>154</v>
      </c>
    </row>
    <row r="169" spans="1:256">
      <c r="C169" s="48" t="s">
        <v>486</v>
      </c>
      <c r="D169" s="48" t="s">
        <v>487</v>
      </c>
      <c r="E169" s="48" t="s">
        <v>152</v>
      </c>
      <c r="F169" s="48">
        <v>35</v>
      </c>
      <c r="G169" s="55">
        <v>18796986336</v>
      </c>
      <c r="I169" s="31" t="s">
        <v>485</v>
      </c>
      <c r="J169" s="48" t="s">
        <v>25</v>
      </c>
      <c r="K169" s="48"/>
      <c r="L169" s="47" t="str">
        <f ca="1">DATEDIF(H171,TODAY(),"Y")&amp;"年"&amp;DATEDIF(H171,TODAY(),"YM")&amp;"个月"</f>
        <v>2年1个月</v>
      </c>
      <c r="M169" s="48" t="s">
        <v>154</v>
      </c>
    </row>
    <row r="170" spans="1:256">
      <c r="C170" s="48" t="s">
        <v>488</v>
      </c>
      <c r="D170" s="210" t="s">
        <v>489</v>
      </c>
      <c r="E170" s="48" t="s">
        <v>152</v>
      </c>
      <c r="F170" s="48">
        <v>35</v>
      </c>
      <c r="G170" s="48">
        <v>15862024685</v>
      </c>
      <c r="H170" s="54">
        <v>45345</v>
      </c>
      <c r="I170" s="31" t="s">
        <v>490</v>
      </c>
    </row>
    <row r="171" s="5" customFormat="1" ht="15" customHeight="1" spans="1:256">
      <c r="A171" s="24">
        <f t="shared" ref="A171:A177" si="29">ROW()-2</f>
        <v>169</v>
      </c>
      <c r="B171" s="25" t="s">
        <v>491</v>
      </c>
      <c r="C171" s="48" t="s">
        <v>492</v>
      </c>
      <c r="D171" s="210" t="s">
        <v>493</v>
      </c>
      <c r="E171" s="48" t="s">
        <v>158</v>
      </c>
      <c r="F171" s="48">
        <v>41</v>
      </c>
      <c r="G171" s="55">
        <v>18112850228</v>
      </c>
      <c r="H171" s="50">
        <v>45344</v>
      </c>
      <c r="I171" s="31" t="s">
        <v>494</v>
      </c>
      <c r="J171" s="25" t="s">
        <v>25</v>
      </c>
      <c r="K171" s="25" t="s">
        <v>26</v>
      </c>
      <c r="L171" s="25" t="str">
        <f ca="1">DATEDIF(H161,TODAY(),"Y")&amp;"年"&amp;DATEDIF(H161,TODAY(),"YM")&amp;"个月"</f>
        <v>3年8个月</v>
      </c>
      <c r="M171" s="25" t="s">
        <v>154</v>
      </c>
      <c r="O171" s="24"/>
      <c r="P171" s="43"/>
      <c r="Q171" s="25" t="s">
        <v>249</v>
      </c>
      <c r="R171" s="41" t="s">
        <v>102</v>
      </c>
      <c r="S171" s="42" t="s">
        <v>397</v>
      </c>
      <c r="T171" s="42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5"/>
      <c r="ED171" s="15"/>
      <c r="EE171" s="15"/>
      <c r="EF171" s="15"/>
      <c r="EG171" s="15"/>
      <c r="EH171" s="15"/>
      <c r="EI171" s="15"/>
      <c r="EJ171" s="15"/>
      <c r="EK171" s="15"/>
      <c r="EL171" s="15"/>
      <c r="EM171" s="15"/>
      <c r="EN171" s="15"/>
      <c r="EO171" s="15"/>
      <c r="EP171" s="15"/>
      <c r="EQ171" s="15"/>
      <c r="ER171" s="15"/>
      <c r="ES171" s="15"/>
      <c r="ET171" s="15"/>
      <c r="EU171" s="15"/>
      <c r="EV171" s="15"/>
      <c r="EW171" s="15"/>
      <c r="EX171" s="15"/>
      <c r="EY171" s="15"/>
      <c r="EZ171" s="15"/>
      <c r="FA171" s="15"/>
      <c r="FB171" s="15"/>
      <c r="FC171" s="15"/>
      <c r="FD171" s="15"/>
      <c r="FE171" s="15"/>
      <c r="FF171" s="15"/>
      <c r="FG171" s="15"/>
      <c r="FH171" s="15"/>
      <c r="FI171" s="15"/>
      <c r="FJ171" s="15"/>
      <c r="FK171" s="15"/>
      <c r="FL171" s="15"/>
      <c r="FM171" s="15"/>
      <c r="FN171" s="15"/>
      <c r="FO171" s="15"/>
      <c r="FP171" s="15"/>
      <c r="FQ171" s="15"/>
      <c r="FR171" s="15"/>
      <c r="FS171" s="15"/>
      <c r="FT171" s="15"/>
      <c r="FU171" s="15"/>
      <c r="FV171" s="15"/>
      <c r="FW171" s="15"/>
      <c r="FX171" s="15"/>
      <c r="FY171" s="15"/>
      <c r="FZ171" s="15"/>
      <c r="GA171" s="15"/>
      <c r="GB171" s="15"/>
      <c r="GC171" s="15"/>
      <c r="GD171" s="15"/>
      <c r="GE171" s="15"/>
      <c r="GF171" s="15"/>
      <c r="GG171" s="15"/>
      <c r="GH171" s="15"/>
      <c r="GI171" s="15"/>
      <c r="GJ171" s="15"/>
      <c r="GK171" s="15"/>
      <c r="GL171" s="15"/>
      <c r="GM171" s="15"/>
      <c r="GN171" s="15"/>
      <c r="GO171" s="15"/>
      <c r="GP171" s="15"/>
      <c r="GQ171" s="15"/>
      <c r="GR171" s="15"/>
      <c r="GS171" s="15"/>
      <c r="GT171" s="15"/>
      <c r="GU171" s="15"/>
      <c r="GV171" s="15"/>
      <c r="GW171" s="15"/>
      <c r="GX171" s="15"/>
      <c r="GY171" s="15"/>
      <c r="GZ171" s="15"/>
      <c r="HA171" s="15"/>
      <c r="HB171" s="15"/>
      <c r="HC171" s="15"/>
      <c r="HD171" s="15"/>
      <c r="HE171" s="15"/>
      <c r="HF171" s="15"/>
      <c r="HG171" s="15"/>
      <c r="HH171" s="15"/>
      <c r="HI171" s="15"/>
      <c r="HJ171" s="15"/>
      <c r="HK171" s="15"/>
      <c r="HL171" s="15"/>
      <c r="HM171" s="15"/>
      <c r="HN171" s="15"/>
      <c r="HO171" s="15"/>
      <c r="HP171" s="15"/>
      <c r="HQ171" s="15"/>
      <c r="HR171" s="15"/>
      <c r="HS171" s="15"/>
      <c r="HT171" s="15"/>
      <c r="HU171" s="15"/>
      <c r="HV171" s="15"/>
      <c r="HW171" s="15"/>
      <c r="HX171" s="15"/>
      <c r="HY171" s="15"/>
      <c r="HZ171" s="15"/>
      <c r="IA171" s="15"/>
      <c r="IB171" s="15"/>
      <c r="IC171" s="15"/>
      <c r="ID171" s="15"/>
      <c r="IE171" s="15"/>
      <c r="IF171" s="15"/>
      <c r="IG171" s="15"/>
      <c r="IH171" s="15"/>
      <c r="II171" s="15"/>
      <c r="IJ171" s="15"/>
      <c r="IK171" s="15"/>
      <c r="IL171" s="15"/>
      <c r="IM171" s="15"/>
      <c r="IN171" s="15"/>
      <c r="IO171" s="15"/>
      <c r="IP171" s="15"/>
      <c r="IQ171" s="15"/>
      <c r="IR171" s="15"/>
      <c r="IS171" s="15"/>
      <c r="IT171" s="15"/>
      <c r="IU171" s="15"/>
      <c r="IV171" s="15"/>
    </row>
    <row r="172" s="5" customFormat="1" ht="15" customHeight="1" spans="1:256">
      <c r="A172" s="24">
        <f t="shared" si="29"/>
        <v>170</v>
      </c>
      <c r="B172" s="25" t="s">
        <v>495</v>
      </c>
      <c r="C172" s="25" t="s">
        <v>496</v>
      </c>
      <c r="D172" s="205" t="s">
        <v>497</v>
      </c>
      <c r="E172" s="25" t="str">
        <f t="shared" si="27"/>
        <v>男</v>
      </c>
      <c r="F172" s="24">
        <f ca="1" t="shared" si="28"/>
        <v>54</v>
      </c>
      <c r="G172" s="26">
        <v>13505116661</v>
      </c>
      <c r="H172" s="27">
        <v>45070</v>
      </c>
      <c r="I172" s="27"/>
      <c r="J172" s="25" t="s">
        <v>109</v>
      </c>
      <c r="K172" s="25" t="s">
        <v>498</v>
      </c>
      <c r="L172" s="25" t="str">
        <f ca="1" t="shared" ref="L172:L177" si="30">DATEDIF(H172,TODAY(),"Y")&amp;"年"&amp;DATEDIF(H172,TODAY(),"YM")&amp;"个月"</f>
        <v>2年10个月</v>
      </c>
      <c r="M172" s="25" t="s">
        <v>154</v>
      </c>
      <c r="O172" s="24"/>
      <c r="P172" s="43"/>
      <c r="Q172" s="25" t="s">
        <v>249</v>
      </c>
      <c r="R172" s="46" t="s">
        <v>111</v>
      </c>
      <c r="S172" s="42" t="s">
        <v>499</v>
      </c>
      <c r="T172" s="42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  <c r="CW172" s="15"/>
      <c r="CX172" s="15"/>
      <c r="CY172" s="15"/>
      <c r="CZ172" s="15"/>
      <c r="DA172" s="15"/>
      <c r="DB172" s="15"/>
      <c r="DC172" s="15"/>
      <c r="DD172" s="15"/>
      <c r="DE172" s="15"/>
      <c r="DF172" s="15"/>
      <c r="DG172" s="15"/>
      <c r="DH172" s="15"/>
      <c r="DI172" s="15"/>
      <c r="DJ172" s="15"/>
      <c r="DK172" s="15"/>
      <c r="DL172" s="15"/>
      <c r="DM172" s="15"/>
      <c r="DN172" s="15"/>
      <c r="DO172" s="15"/>
      <c r="DP172" s="15"/>
      <c r="DQ172" s="15"/>
      <c r="DR172" s="15"/>
      <c r="DS172" s="15"/>
      <c r="DT172" s="15"/>
      <c r="DU172" s="15"/>
      <c r="DV172" s="15"/>
      <c r="DW172" s="15"/>
      <c r="DX172" s="15"/>
      <c r="DY172" s="15"/>
      <c r="DZ172" s="15"/>
      <c r="EA172" s="15"/>
      <c r="EB172" s="15"/>
      <c r="EC172" s="15"/>
      <c r="ED172" s="15"/>
      <c r="EE172" s="15"/>
      <c r="EF172" s="15"/>
      <c r="EG172" s="15"/>
      <c r="EH172" s="15"/>
      <c r="EI172" s="15"/>
      <c r="EJ172" s="15"/>
      <c r="EK172" s="15"/>
      <c r="EL172" s="15"/>
      <c r="EM172" s="15"/>
      <c r="EN172" s="15"/>
      <c r="EO172" s="15"/>
      <c r="EP172" s="15"/>
      <c r="EQ172" s="15"/>
      <c r="ER172" s="15"/>
      <c r="ES172" s="15"/>
      <c r="ET172" s="15"/>
      <c r="EU172" s="15"/>
      <c r="EV172" s="15"/>
      <c r="EW172" s="15"/>
      <c r="EX172" s="15"/>
      <c r="EY172" s="15"/>
      <c r="EZ172" s="15"/>
      <c r="FA172" s="15"/>
      <c r="FB172" s="15"/>
      <c r="FC172" s="15"/>
      <c r="FD172" s="15"/>
      <c r="FE172" s="15"/>
      <c r="FF172" s="15"/>
      <c r="FG172" s="15"/>
      <c r="FH172" s="15"/>
      <c r="FI172" s="15"/>
      <c r="FJ172" s="15"/>
      <c r="FK172" s="15"/>
      <c r="FL172" s="15"/>
      <c r="FM172" s="15"/>
      <c r="FN172" s="15"/>
      <c r="FO172" s="15"/>
      <c r="FP172" s="15"/>
      <c r="FQ172" s="15"/>
      <c r="FR172" s="15"/>
      <c r="FS172" s="15"/>
      <c r="FT172" s="15"/>
      <c r="FU172" s="15"/>
      <c r="FV172" s="15"/>
      <c r="FW172" s="15"/>
      <c r="FX172" s="15"/>
      <c r="FY172" s="15"/>
      <c r="FZ172" s="15"/>
      <c r="GA172" s="15"/>
      <c r="GB172" s="15"/>
      <c r="GC172" s="15"/>
      <c r="GD172" s="15"/>
      <c r="GE172" s="15"/>
      <c r="GF172" s="15"/>
      <c r="GG172" s="15"/>
      <c r="GH172" s="15"/>
      <c r="GI172" s="15"/>
      <c r="GJ172" s="15"/>
      <c r="GK172" s="15"/>
      <c r="GL172" s="15"/>
      <c r="GM172" s="15"/>
      <c r="GN172" s="15"/>
      <c r="GO172" s="15"/>
      <c r="GP172" s="15"/>
      <c r="GQ172" s="15"/>
      <c r="GR172" s="15"/>
      <c r="GS172" s="15"/>
      <c r="GT172" s="15"/>
      <c r="GU172" s="15"/>
      <c r="GV172" s="15"/>
      <c r="GW172" s="15"/>
      <c r="GX172" s="15"/>
      <c r="GY172" s="15"/>
      <c r="GZ172" s="15"/>
      <c r="HA172" s="15"/>
      <c r="HB172" s="15"/>
      <c r="HC172" s="15"/>
      <c r="HD172" s="15"/>
      <c r="HE172" s="15"/>
      <c r="HF172" s="15"/>
      <c r="HG172" s="15"/>
      <c r="HH172" s="15"/>
      <c r="HI172" s="15"/>
      <c r="HJ172" s="15"/>
      <c r="HK172" s="15"/>
      <c r="HL172" s="15"/>
      <c r="HM172" s="15"/>
      <c r="HN172" s="15"/>
      <c r="HO172" s="15"/>
      <c r="HP172" s="15"/>
      <c r="HQ172" s="15"/>
      <c r="HR172" s="15"/>
      <c r="HS172" s="15"/>
      <c r="HT172" s="15"/>
      <c r="HU172" s="15"/>
      <c r="HV172" s="15"/>
      <c r="HW172" s="15"/>
      <c r="HX172" s="15"/>
      <c r="HY172" s="15"/>
      <c r="HZ172" s="15"/>
      <c r="IA172" s="15"/>
      <c r="IB172" s="15"/>
      <c r="IC172" s="15"/>
      <c r="ID172" s="15"/>
      <c r="IE172" s="15"/>
      <c r="IF172" s="15"/>
      <c r="IG172" s="15"/>
      <c r="IH172" s="15"/>
      <c r="II172" s="15"/>
      <c r="IJ172" s="15"/>
      <c r="IK172" s="15"/>
      <c r="IL172" s="15"/>
      <c r="IM172" s="15"/>
      <c r="IN172" s="15"/>
      <c r="IO172" s="15"/>
      <c r="IP172" s="15"/>
      <c r="IQ172" s="15"/>
      <c r="IR172" s="15"/>
      <c r="IS172" s="15"/>
      <c r="IT172" s="15"/>
      <c r="IU172" s="15"/>
      <c r="IV172" s="15"/>
    </row>
    <row r="173" s="5" customFormat="1" ht="15" customHeight="1" spans="1:256">
      <c r="A173" s="24">
        <f t="shared" si="29"/>
        <v>171</v>
      </c>
      <c r="B173" s="25" t="s">
        <v>304</v>
      </c>
      <c r="I173" s="27"/>
      <c r="J173" s="25" t="s">
        <v>122</v>
      </c>
      <c r="K173" s="25" t="s">
        <v>172</v>
      </c>
      <c r="L173" s="25" t="str">
        <f ca="1">DATEDIF(H160,TODAY(),"Y")&amp;"年"&amp;DATEDIF(H160,TODAY(),"YM")&amp;"个月"</f>
        <v>2年7个月</v>
      </c>
      <c r="M173" s="25" t="s">
        <v>154</v>
      </c>
      <c r="N173" s="24"/>
      <c r="O173" s="43"/>
      <c r="P173" s="63"/>
      <c r="Q173" s="29" t="s">
        <v>101</v>
      </c>
      <c r="R173" s="42"/>
      <c r="S173" s="42"/>
      <c r="T173" s="42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5"/>
      <c r="ED173" s="15"/>
      <c r="EE173" s="15"/>
      <c r="EF173" s="15"/>
      <c r="EG173" s="15"/>
      <c r="EH173" s="15"/>
      <c r="EI173" s="15"/>
      <c r="EJ173" s="15"/>
      <c r="EK173" s="15"/>
      <c r="EL173" s="15"/>
      <c r="EM173" s="15"/>
      <c r="EN173" s="15"/>
      <c r="EO173" s="15"/>
      <c r="EP173" s="15"/>
      <c r="EQ173" s="15"/>
      <c r="ER173" s="15"/>
      <c r="ES173" s="15"/>
      <c r="ET173" s="15"/>
      <c r="EU173" s="15"/>
      <c r="EV173" s="15"/>
      <c r="EW173" s="15"/>
      <c r="EX173" s="15"/>
      <c r="EY173" s="15"/>
      <c r="EZ173" s="15"/>
      <c r="FA173" s="15"/>
      <c r="FB173" s="15"/>
      <c r="FC173" s="15"/>
      <c r="FD173" s="15"/>
      <c r="FE173" s="15"/>
      <c r="FF173" s="15"/>
      <c r="FG173" s="15"/>
      <c r="FH173" s="15"/>
      <c r="FI173" s="15"/>
      <c r="FJ173" s="15"/>
      <c r="FK173" s="15"/>
      <c r="FL173" s="15"/>
      <c r="FM173" s="15"/>
      <c r="FN173" s="15"/>
      <c r="FO173" s="15"/>
      <c r="FP173" s="15"/>
      <c r="FQ173" s="15"/>
      <c r="FR173" s="15"/>
      <c r="FS173" s="15"/>
      <c r="FT173" s="15"/>
      <c r="FU173" s="15"/>
      <c r="FV173" s="15"/>
      <c r="FW173" s="15"/>
      <c r="FX173" s="15"/>
      <c r="FY173" s="15"/>
      <c r="FZ173" s="15"/>
      <c r="GA173" s="15"/>
      <c r="GB173" s="15"/>
      <c r="GC173" s="15"/>
      <c r="GD173" s="15"/>
      <c r="GE173" s="15"/>
      <c r="GF173" s="15"/>
      <c r="GG173" s="15"/>
      <c r="GH173" s="15"/>
      <c r="GI173" s="15"/>
      <c r="GJ173" s="15"/>
      <c r="GK173" s="15"/>
      <c r="GL173" s="15"/>
      <c r="GM173" s="15"/>
      <c r="GN173" s="15"/>
      <c r="GO173" s="15"/>
      <c r="GP173" s="15"/>
      <c r="GQ173" s="15"/>
      <c r="GR173" s="15"/>
      <c r="GS173" s="15"/>
      <c r="GT173" s="15"/>
      <c r="GU173" s="15"/>
      <c r="GV173" s="15"/>
      <c r="GW173" s="15"/>
      <c r="GX173" s="15"/>
      <c r="GY173" s="15"/>
      <c r="GZ173" s="15"/>
      <c r="HA173" s="15"/>
      <c r="HB173" s="15"/>
      <c r="HC173" s="15"/>
      <c r="HD173" s="15"/>
      <c r="HE173" s="15"/>
      <c r="HF173" s="15"/>
      <c r="HG173" s="15"/>
      <c r="HH173" s="15"/>
      <c r="HI173" s="15"/>
      <c r="HJ173" s="15"/>
      <c r="HK173" s="15"/>
      <c r="HL173" s="15"/>
      <c r="HM173" s="15"/>
      <c r="HN173" s="15"/>
      <c r="HO173" s="15"/>
      <c r="HP173" s="15"/>
      <c r="HQ173" s="15"/>
      <c r="HR173" s="15"/>
      <c r="HS173" s="15"/>
      <c r="HT173" s="15"/>
      <c r="HU173" s="15"/>
      <c r="HV173" s="15"/>
      <c r="HW173" s="15"/>
      <c r="HX173" s="15"/>
      <c r="HY173" s="15"/>
      <c r="HZ173" s="15"/>
      <c r="IA173" s="15"/>
      <c r="IB173" s="15"/>
      <c r="IC173" s="15"/>
      <c r="ID173" s="15"/>
      <c r="IE173" s="15"/>
      <c r="IF173" s="15"/>
      <c r="IG173" s="15"/>
      <c r="IH173" s="15"/>
      <c r="II173" s="15"/>
      <c r="IJ173" s="15"/>
      <c r="IK173" s="15"/>
      <c r="IL173" s="15"/>
      <c r="IM173" s="15"/>
      <c r="IN173" s="15"/>
      <c r="IO173" s="15"/>
      <c r="IP173" s="15"/>
      <c r="IQ173" s="15"/>
      <c r="IR173" s="15"/>
      <c r="IS173" s="15"/>
      <c r="IT173" s="15"/>
      <c r="IU173" s="15"/>
      <c r="IV173" s="15"/>
    </row>
    <row r="174" s="5" customFormat="1" ht="15" customHeight="1" spans="1:256">
      <c r="A174" s="24">
        <f t="shared" si="29"/>
        <v>172</v>
      </c>
      <c r="B174" s="25" t="s">
        <v>297</v>
      </c>
      <c r="C174" s="25" t="s">
        <v>500</v>
      </c>
      <c r="D174" s="205" t="s">
        <v>501</v>
      </c>
      <c r="E174" s="25" t="s">
        <v>158</v>
      </c>
      <c r="F174" s="24">
        <f ca="1" t="shared" ref="F174:F176" si="31">YEAR(NOW())-MID(D174,7,4)</f>
        <v>64</v>
      </c>
      <c r="G174" s="26">
        <v>18261293873</v>
      </c>
      <c r="H174" s="27">
        <v>45139</v>
      </c>
      <c r="I174" s="27"/>
      <c r="J174" s="24" t="s">
        <v>22</v>
      </c>
      <c r="K174" s="24" t="s">
        <v>100</v>
      </c>
      <c r="L174" s="25" t="str">
        <f ca="1" t="shared" si="30"/>
        <v>2年8个月</v>
      </c>
      <c r="M174" s="25" t="s">
        <v>154</v>
      </c>
      <c r="N174" s="24"/>
      <c r="O174" s="43" t="s">
        <v>303</v>
      </c>
      <c r="P174" s="63"/>
      <c r="Q174" s="29" t="s">
        <v>101</v>
      </c>
      <c r="R174" s="42"/>
      <c r="S174" s="42"/>
      <c r="T174" s="42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  <c r="CW174" s="15"/>
      <c r="CX174" s="15"/>
      <c r="CY174" s="15"/>
      <c r="CZ174" s="15"/>
      <c r="DA174" s="15"/>
      <c r="DB174" s="15"/>
      <c r="DC174" s="15"/>
      <c r="DD174" s="15"/>
      <c r="DE174" s="15"/>
      <c r="DF174" s="15"/>
      <c r="DG174" s="15"/>
      <c r="DH174" s="15"/>
      <c r="DI174" s="15"/>
      <c r="DJ174" s="15"/>
      <c r="DK174" s="15"/>
      <c r="DL174" s="15"/>
      <c r="DM174" s="15"/>
      <c r="DN174" s="15"/>
      <c r="DO174" s="15"/>
      <c r="DP174" s="15"/>
      <c r="DQ174" s="15"/>
      <c r="DR174" s="15"/>
      <c r="DS174" s="15"/>
      <c r="DT174" s="15"/>
      <c r="DU174" s="15"/>
      <c r="DV174" s="15"/>
      <c r="DW174" s="15"/>
      <c r="DX174" s="15"/>
      <c r="DY174" s="15"/>
      <c r="DZ174" s="15"/>
      <c r="EA174" s="15"/>
      <c r="EB174" s="15"/>
      <c r="EC174" s="15"/>
      <c r="ED174" s="15"/>
      <c r="EE174" s="15"/>
      <c r="EF174" s="15"/>
      <c r="EG174" s="15"/>
      <c r="EH174" s="15"/>
      <c r="EI174" s="15"/>
      <c r="EJ174" s="15"/>
      <c r="EK174" s="15"/>
      <c r="EL174" s="15"/>
      <c r="EM174" s="15"/>
      <c r="EN174" s="15"/>
      <c r="EO174" s="15"/>
      <c r="EP174" s="15"/>
      <c r="EQ174" s="15"/>
      <c r="ER174" s="15"/>
      <c r="ES174" s="15"/>
      <c r="ET174" s="15"/>
      <c r="EU174" s="15"/>
      <c r="EV174" s="15"/>
      <c r="EW174" s="15"/>
      <c r="EX174" s="15"/>
      <c r="EY174" s="15"/>
      <c r="EZ174" s="15"/>
      <c r="FA174" s="15"/>
      <c r="FB174" s="15"/>
      <c r="FC174" s="15"/>
      <c r="FD174" s="15"/>
      <c r="FE174" s="15"/>
      <c r="FF174" s="15"/>
      <c r="FG174" s="15"/>
      <c r="FH174" s="15"/>
      <c r="FI174" s="15"/>
      <c r="FJ174" s="15"/>
      <c r="FK174" s="15"/>
      <c r="FL174" s="15"/>
      <c r="FM174" s="15"/>
      <c r="FN174" s="15"/>
      <c r="FO174" s="15"/>
      <c r="FP174" s="15"/>
      <c r="FQ174" s="15"/>
      <c r="FR174" s="15"/>
      <c r="FS174" s="15"/>
      <c r="FT174" s="15"/>
      <c r="FU174" s="15"/>
      <c r="FV174" s="15"/>
      <c r="FW174" s="15"/>
      <c r="FX174" s="15"/>
      <c r="FY174" s="15"/>
      <c r="FZ174" s="15"/>
      <c r="GA174" s="15"/>
      <c r="GB174" s="15"/>
      <c r="GC174" s="15"/>
      <c r="GD174" s="15"/>
      <c r="GE174" s="15"/>
      <c r="GF174" s="15"/>
      <c r="GG174" s="15"/>
      <c r="GH174" s="15"/>
      <c r="GI174" s="15"/>
      <c r="GJ174" s="15"/>
      <c r="GK174" s="15"/>
      <c r="GL174" s="15"/>
      <c r="GM174" s="15"/>
      <c r="GN174" s="15"/>
      <c r="GO174" s="15"/>
      <c r="GP174" s="15"/>
      <c r="GQ174" s="15"/>
      <c r="GR174" s="15"/>
      <c r="GS174" s="15"/>
      <c r="GT174" s="15"/>
      <c r="GU174" s="15"/>
      <c r="GV174" s="15"/>
      <c r="GW174" s="15"/>
      <c r="GX174" s="15"/>
      <c r="GY174" s="15"/>
      <c r="GZ174" s="15"/>
      <c r="HA174" s="15"/>
      <c r="HB174" s="15"/>
      <c r="HC174" s="15"/>
      <c r="HD174" s="15"/>
      <c r="HE174" s="15"/>
      <c r="HF174" s="15"/>
      <c r="HG174" s="15"/>
      <c r="HH174" s="15"/>
      <c r="HI174" s="15"/>
      <c r="HJ174" s="15"/>
      <c r="HK174" s="15"/>
      <c r="HL174" s="15"/>
      <c r="HM174" s="15"/>
      <c r="HN174" s="15"/>
      <c r="HO174" s="15"/>
      <c r="HP174" s="15"/>
      <c r="HQ174" s="15"/>
      <c r="HR174" s="15"/>
      <c r="HS174" s="15"/>
      <c r="HT174" s="15"/>
      <c r="HU174" s="15"/>
      <c r="HV174" s="15"/>
      <c r="HW174" s="15"/>
      <c r="HX174" s="15"/>
      <c r="HY174" s="15"/>
      <c r="HZ174" s="15"/>
      <c r="IA174" s="15"/>
      <c r="IB174" s="15"/>
      <c r="IC174" s="15"/>
      <c r="ID174" s="15"/>
      <c r="IE174" s="15"/>
      <c r="IF174" s="15"/>
      <c r="IG174" s="15"/>
      <c r="IH174" s="15"/>
      <c r="II174" s="15"/>
      <c r="IJ174" s="15"/>
      <c r="IK174" s="15"/>
      <c r="IL174" s="15"/>
      <c r="IM174" s="15"/>
      <c r="IN174" s="15"/>
      <c r="IO174" s="15"/>
      <c r="IP174" s="15"/>
      <c r="IQ174" s="15"/>
      <c r="IR174" s="15"/>
      <c r="IS174" s="15"/>
      <c r="IT174" s="15"/>
      <c r="IU174" s="15"/>
      <c r="IV174" s="15"/>
    </row>
    <row r="175" s="5" customFormat="1" ht="15" customHeight="1" spans="1:256">
      <c r="A175" s="24">
        <f t="shared" si="29"/>
        <v>173</v>
      </c>
      <c r="B175" s="25" t="s">
        <v>502</v>
      </c>
      <c r="C175" s="25" t="s">
        <v>503</v>
      </c>
      <c r="D175" s="205" t="s">
        <v>504</v>
      </c>
      <c r="E175" s="25" t="s">
        <v>158</v>
      </c>
      <c r="F175" s="24">
        <f ca="1" t="shared" si="31"/>
        <v>50</v>
      </c>
      <c r="G175" s="26">
        <v>13951483259</v>
      </c>
      <c r="H175" s="27">
        <v>45219</v>
      </c>
      <c r="I175" s="27"/>
      <c r="J175" s="24"/>
      <c r="K175" s="25" t="s">
        <v>115</v>
      </c>
      <c r="L175" s="25" t="str">
        <f ca="1" t="shared" si="30"/>
        <v>2年5个月</v>
      </c>
      <c r="M175" s="25" t="s">
        <v>154</v>
      </c>
      <c r="N175" s="24"/>
      <c r="O175" s="43" t="s">
        <v>303</v>
      </c>
      <c r="P175" s="63"/>
      <c r="Q175" s="29" t="s">
        <v>101</v>
      </c>
      <c r="R175" s="42"/>
      <c r="S175" s="42"/>
      <c r="T175" s="42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  <c r="DY175" s="15"/>
      <c r="DZ175" s="15"/>
      <c r="EA175" s="15"/>
      <c r="EB175" s="15"/>
      <c r="EC175" s="15"/>
      <c r="ED175" s="15"/>
      <c r="EE175" s="15"/>
      <c r="EF175" s="15"/>
      <c r="EG175" s="15"/>
      <c r="EH175" s="15"/>
      <c r="EI175" s="15"/>
      <c r="EJ175" s="15"/>
      <c r="EK175" s="15"/>
      <c r="EL175" s="15"/>
      <c r="EM175" s="15"/>
      <c r="EN175" s="15"/>
      <c r="EO175" s="15"/>
      <c r="EP175" s="15"/>
      <c r="EQ175" s="15"/>
      <c r="ER175" s="15"/>
      <c r="ES175" s="15"/>
      <c r="ET175" s="15"/>
      <c r="EU175" s="15"/>
      <c r="EV175" s="15"/>
      <c r="EW175" s="15"/>
      <c r="EX175" s="15"/>
      <c r="EY175" s="15"/>
      <c r="EZ175" s="15"/>
      <c r="FA175" s="15"/>
      <c r="FB175" s="15"/>
      <c r="FC175" s="15"/>
      <c r="FD175" s="15"/>
      <c r="FE175" s="15"/>
      <c r="FF175" s="15"/>
      <c r="FG175" s="15"/>
      <c r="FH175" s="15"/>
      <c r="FI175" s="15"/>
      <c r="FJ175" s="15"/>
      <c r="FK175" s="15"/>
      <c r="FL175" s="15"/>
      <c r="FM175" s="15"/>
      <c r="FN175" s="15"/>
      <c r="FO175" s="15"/>
      <c r="FP175" s="15"/>
      <c r="FQ175" s="15"/>
      <c r="FR175" s="15"/>
      <c r="FS175" s="15"/>
      <c r="FT175" s="15"/>
      <c r="FU175" s="15"/>
      <c r="FV175" s="15"/>
      <c r="FW175" s="15"/>
      <c r="FX175" s="15"/>
      <c r="FY175" s="15"/>
      <c r="FZ175" s="15"/>
      <c r="GA175" s="15"/>
      <c r="GB175" s="15"/>
      <c r="GC175" s="15"/>
      <c r="GD175" s="15"/>
      <c r="GE175" s="15"/>
      <c r="GF175" s="15"/>
      <c r="GG175" s="15"/>
      <c r="GH175" s="15"/>
      <c r="GI175" s="15"/>
      <c r="GJ175" s="15"/>
      <c r="GK175" s="15"/>
      <c r="GL175" s="15"/>
      <c r="GM175" s="15"/>
      <c r="GN175" s="15"/>
      <c r="GO175" s="15"/>
      <c r="GP175" s="15"/>
      <c r="GQ175" s="15"/>
      <c r="GR175" s="15"/>
      <c r="GS175" s="15"/>
      <c r="GT175" s="15"/>
      <c r="GU175" s="15"/>
      <c r="GV175" s="15"/>
      <c r="GW175" s="15"/>
      <c r="GX175" s="15"/>
      <c r="GY175" s="15"/>
      <c r="GZ175" s="15"/>
      <c r="HA175" s="15"/>
      <c r="HB175" s="15"/>
      <c r="HC175" s="15"/>
      <c r="HD175" s="15"/>
      <c r="HE175" s="15"/>
      <c r="HF175" s="15"/>
      <c r="HG175" s="15"/>
      <c r="HH175" s="15"/>
      <c r="HI175" s="15"/>
      <c r="HJ175" s="15"/>
      <c r="HK175" s="15"/>
      <c r="HL175" s="15"/>
      <c r="HM175" s="15"/>
      <c r="HN175" s="15"/>
      <c r="HO175" s="15"/>
      <c r="HP175" s="15"/>
      <c r="HQ175" s="15"/>
      <c r="HR175" s="15"/>
      <c r="HS175" s="15"/>
      <c r="HT175" s="15"/>
      <c r="HU175" s="15"/>
      <c r="HV175" s="15"/>
      <c r="HW175" s="15"/>
      <c r="HX175" s="15"/>
      <c r="HY175" s="15"/>
      <c r="HZ175" s="15"/>
      <c r="IA175" s="15"/>
      <c r="IB175" s="15"/>
      <c r="IC175" s="15"/>
      <c r="ID175" s="15"/>
      <c r="IE175" s="15"/>
      <c r="IF175" s="15"/>
      <c r="IG175" s="15"/>
      <c r="IH175" s="15"/>
      <c r="II175" s="15"/>
      <c r="IJ175" s="15"/>
      <c r="IK175" s="15"/>
      <c r="IL175" s="15"/>
      <c r="IM175" s="15"/>
      <c r="IN175" s="15"/>
      <c r="IO175" s="15"/>
      <c r="IP175" s="15"/>
      <c r="IQ175" s="15"/>
      <c r="IR175" s="15"/>
      <c r="IS175" s="15"/>
      <c r="IT175" s="15"/>
      <c r="IU175" s="15"/>
      <c r="IV175" s="15"/>
    </row>
    <row r="176" s="6" customFormat="1" spans="1:256">
      <c r="A176" s="24">
        <f t="shared" si="29"/>
        <v>174</v>
      </c>
      <c r="B176" s="25" t="s">
        <v>103</v>
      </c>
      <c r="C176" s="48" t="s">
        <v>505</v>
      </c>
      <c r="D176" s="210" t="s">
        <v>506</v>
      </c>
      <c r="E176" s="48" t="s">
        <v>158</v>
      </c>
      <c r="F176" s="48">
        <f ca="1" t="shared" si="31"/>
        <v>43</v>
      </c>
      <c r="G176" s="55">
        <v>13770215039</v>
      </c>
      <c r="H176" s="54">
        <v>45286</v>
      </c>
      <c r="I176" s="48"/>
      <c r="J176" s="48" t="s">
        <v>22</v>
      </c>
      <c r="K176" s="48" t="s">
        <v>22</v>
      </c>
      <c r="L176" s="25" t="str">
        <f ca="1" t="shared" si="30"/>
        <v>2年3个月</v>
      </c>
      <c r="M176" s="56" t="s">
        <v>154</v>
      </c>
      <c r="O176" s="48"/>
      <c r="P176" s="52"/>
      <c r="Q176" s="48"/>
      <c r="R176" s="48"/>
      <c r="S176" s="48"/>
      <c r="T176" s="48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  <c r="EM176" s="9"/>
      <c r="EN176" s="9"/>
      <c r="EO176" s="9"/>
      <c r="EP176" s="9"/>
      <c r="EQ176" s="9"/>
      <c r="ER176" s="9"/>
      <c r="ES176" s="9"/>
      <c r="ET176" s="9"/>
      <c r="EU176" s="9"/>
      <c r="EV176" s="9"/>
      <c r="EW176" s="9"/>
      <c r="EX176" s="9"/>
      <c r="EY176" s="9"/>
      <c r="EZ176" s="9"/>
      <c r="FA176" s="9"/>
      <c r="FB176" s="9"/>
      <c r="FC176" s="9"/>
      <c r="FD176" s="9"/>
      <c r="FE176" s="9"/>
      <c r="FF176" s="9"/>
      <c r="FG176" s="9"/>
      <c r="FH176" s="9"/>
      <c r="FI176" s="9"/>
      <c r="FJ176" s="9"/>
      <c r="FK176" s="9"/>
      <c r="FL176" s="9"/>
      <c r="FM176" s="9"/>
      <c r="FN176" s="9"/>
      <c r="FO176" s="9"/>
      <c r="FP176" s="9"/>
      <c r="FQ176" s="9"/>
      <c r="FR176" s="9"/>
      <c r="FS176" s="9"/>
      <c r="FT176" s="9"/>
      <c r="FU176" s="9"/>
      <c r="FV176" s="9"/>
      <c r="FW176" s="9"/>
      <c r="FX176" s="9"/>
      <c r="FY176" s="9"/>
      <c r="FZ176" s="9"/>
      <c r="GA176" s="9"/>
      <c r="GB176" s="9"/>
      <c r="GC176" s="9"/>
      <c r="GD176" s="9"/>
      <c r="GE176" s="9"/>
      <c r="GF176" s="9"/>
      <c r="GG176" s="9"/>
      <c r="GH176" s="9"/>
      <c r="GI176" s="9"/>
      <c r="GJ176" s="9"/>
      <c r="GK176" s="9"/>
      <c r="GL176" s="9"/>
      <c r="GM176" s="9"/>
      <c r="GN176" s="9"/>
      <c r="GO176" s="9"/>
      <c r="GP176" s="9"/>
      <c r="GQ176" s="9"/>
      <c r="GR176" s="9"/>
      <c r="GS176" s="9"/>
      <c r="GT176" s="9"/>
      <c r="GU176" s="9"/>
      <c r="GV176" s="9"/>
      <c r="GW176" s="9"/>
      <c r="GX176" s="9"/>
      <c r="GY176" s="9"/>
      <c r="GZ176" s="9"/>
      <c r="HA176" s="9"/>
      <c r="HB176" s="9"/>
      <c r="HC176" s="9"/>
      <c r="HD176" s="9"/>
      <c r="HE176" s="9"/>
      <c r="HF176" s="9"/>
      <c r="HG176" s="9"/>
      <c r="HH176" s="9"/>
      <c r="HI176" s="9"/>
      <c r="HJ176" s="9"/>
      <c r="HK176" s="9"/>
      <c r="HL176" s="9"/>
      <c r="HM176" s="9"/>
      <c r="HN176" s="9"/>
      <c r="HO176" s="9"/>
      <c r="HP176" s="9"/>
      <c r="HQ176" s="9"/>
      <c r="HR176" s="9"/>
      <c r="HS176" s="9"/>
      <c r="HT176" s="9"/>
      <c r="HU176" s="9"/>
      <c r="HV176" s="9"/>
      <c r="HW176" s="9"/>
      <c r="HX176" s="9"/>
      <c r="HY176" s="9"/>
      <c r="HZ176" s="9"/>
      <c r="IA176" s="9"/>
      <c r="IB176" s="9"/>
      <c r="IC176" s="9"/>
      <c r="ID176" s="9"/>
      <c r="IE176" s="9"/>
      <c r="IF176" s="9"/>
      <c r="IG176" s="9"/>
      <c r="IH176" s="9"/>
      <c r="II176" s="9"/>
      <c r="IJ176" s="9"/>
      <c r="IK176" s="9"/>
      <c r="IL176" s="9"/>
      <c r="IM176" s="9"/>
      <c r="IN176" s="9"/>
      <c r="IO176" s="9"/>
      <c r="IP176" s="9"/>
      <c r="IQ176" s="9"/>
      <c r="IR176" s="9"/>
      <c r="IS176" s="9"/>
      <c r="IT176" s="9"/>
    </row>
    <row r="177" s="6" customFormat="1" ht="15" customHeight="1" spans="1:256">
      <c r="A177" s="24">
        <f t="shared" si="29"/>
        <v>175</v>
      </c>
      <c r="B177" s="47" t="s">
        <v>319</v>
      </c>
      <c r="C177" s="48" t="s">
        <v>166</v>
      </c>
      <c r="D177" s="210" t="s">
        <v>507</v>
      </c>
      <c r="E177" s="48" t="s">
        <v>152</v>
      </c>
      <c r="F177" s="48">
        <v>27</v>
      </c>
      <c r="G177" s="55">
        <v>13914609512</v>
      </c>
      <c r="H177" s="49">
        <v>45303</v>
      </c>
      <c r="I177" s="50"/>
      <c r="J177" s="48" t="s">
        <v>22</v>
      </c>
      <c r="K177" s="48" t="s">
        <v>400</v>
      </c>
      <c r="L177" s="47" t="str">
        <f ca="1" t="shared" si="30"/>
        <v>2年3个月</v>
      </c>
      <c r="M177" s="51" t="s">
        <v>154</v>
      </c>
      <c r="N177" s="48"/>
      <c r="O177" s="52"/>
      <c r="P177" s="64" t="s">
        <v>358</v>
      </c>
      <c r="R177" s="46" t="s">
        <v>111</v>
      </c>
      <c r="S177" s="48"/>
      <c r="T177" s="46" t="s">
        <v>111</v>
      </c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/>
      <c r="EL177" s="9"/>
      <c r="EM177" s="9"/>
      <c r="EN177" s="9"/>
      <c r="EO177" s="9"/>
      <c r="EP177" s="9"/>
      <c r="EQ177" s="9"/>
      <c r="ER177" s="9"/>
      <c r="ES177" s="9"/>
      <c r="ET177" s="9"/>
      <c r="EU177" s="9"/>
      <c r="EV177" s="9"/>
      <c r="EW177" s="9"/>
      <c r="EX177" s="9"/>
      <c r="EY177" s="9"/>
      <c r="EZ177" s="9"/>
      <c r="FA177" s="9"/>
      <c r="FB177" s="9"/>
      <c r="FC177" s="9"/>
      <c r="FD177" s="9"/>
      <c r="FE177" s="9"/>
      <c r="FF177" s="9"/>
      <c r="FG177" s="9"/>
      <c r="FH177" s="9"/>
      <c r="FI177" s="9"/>
      <c r="FJ177" s="9"/>
      <c r="FK177" s="9"/>
      <c r="FL177" s="9"/>
      <c r="FM177" s="9"/>
      <c r="FN177" s="9"/>
      <c r="FO177" s="9"/>
      <c r="FP177" s="9"/>
      <c r="FQ177" s="9"/>
      <c r="FR177" s="9"/>
      <c r="FS177" s="9"/>
      <c r="FT177" s="9"/>
      <c r="FU177" s="9"/>
      <c r="FV177" s="9"/>
      <c r="FW177" s="9"/>
      <c r="FX177" s="9"/>
      <c r="FY177" s="9"/>
      <c r="FZ177" s="9"/>
      <c r="GA177" s="9"/>
      <c r="GB177" s="9"/>
      <c r="GC177" s="9"/>
      <c r="GD177" s="9"/>
      <c r="GE177" s="9"/>
      <c r="GF177" s="9"/>
      <c r="GG177" s="9"/>
      <c r="GH177" s="9"/>
      <c r="GI177" s="9"/>
      <c r="GJ177" s="9"/>
      <c r="GK177" s="9"/>
      <c r="GL177" s="9"/>
      <c r="GM177" s="9"/>
      <c r="GN177" s="9"/>
      <c r="GO177" s="9"/>
      <c r="GP177" s="9"/>
      <c r="GQ177" s="9"/>
      <c r="GR177" s="9"/>
      <c r="GS177" s="9"/>
      <c r="GT177" s="9"/>
      <c r="GU177" s="9"/>
      <c r="GV177" s="9"/>
      <c r="GW177" s="9"/>
      <c r="GX177" s="9"/>
      <c r="GY177" s="9"/>
      <c r="GZ177" s="9"/>
      <c r="HA177" s="9"/>
      <c r="HB177" s="9"/>
      <c r="HC177" s="9"/>
      <c r="HD177" s="9"/>
      <c r="HE177" s="9"/>
      <c r="HF177" s="9"/>
      <c r="HG177" s="9"/>
      <c r="HH177" s="9"/>
      <c r="HI177" s="9"/>
      <c r="HJ177" s="9"/>
      <c r="HK177" s="9"/>
      <c r="HL177" s="9"/>
      <c r="HM177" s="9"/>
      <c r="HN177" s="9"/>
      <c r="HO177" s="9"/>
      <c r="HP177" s="9"/>
      <c r="HQ177" s="9"/>
      <c r="HR177" s="9"/>
      <c r="HS177" s="9"/>
      <c r="HT177" s="9"/>
      <c r="HU177" s="9"/>
      <c r="HV177" s="9"/>
      <c r="HW177" s="9"/>
      <c r="HX177" s="9"/>
      <c r="HY177" s="9"/>
      <c r="HZ177" s="9"/>
      <c r="IA177" s="9"/>
      <c r="IB177" s="9"/>
      <c r="IC177" s="9"/>
      <c r="ID177" s="9"/>
      <c r="IE177" s="9"/>
      <c r="IF177" s="9"/>
      <c r="IG177" s="9"/>
      <c r="IH177" s="9"/>
      <c r="II177" s="9"/>
      <c r="IJ177" s="9"/>
      <c r="IK177" s="9"/>
      <c r="IL177" s="9"/>
      <c r="IM177" s="9"/>
      <c r="IN177" s="9"/>
      <c r="IO177" s="9"/>
      <c r="IP177" s="9"/>
      <c r="IQ177" s="9"/>
      <c r="IR177" s="9"/>
      <c r="IS177" s="9"/>
      <c r="IT177" s="9"/>
      <c r="IU177" s="9"/>
      <c r="IV177" s="9"/>
    </row>
    <row r="178" spans="1:256">
      <c r="C178" s="48" t="s">
        <v>508</v>
      </c>
      <c r="D178" s="210" t="s">
        <v>509</v>
      </c>
      <c r="E178" s="48" t="s">
        <v>152</v>
      </c>
      <c r="F178" s="48">
        <v>23</v>
      </c>
      <c r="G178" s="48">
        <v>19827062726</v>
      </c>
      <c r="H178" s="54">
        <v>45394</v>
      </c>
      <c r="I178" s="60"/>
      <c r="J178" s="48" t="s">
        <v>22</v>
      </c>
      <c r="K178" s="25" t="s">
        <v>100</v>
      </c>
    </row>
    <row r="179" spans="1:256">
      <c r="C179" s="48" t="s">
        <v>510</v>
      </c>
      <c r="D179" s="210" t="s">
        <v>511</v>
      </c>
      <c r="E179" s="48" t="s">
        <v>152</v>
      </c>
      <c r="F179" s="48">
        <v>51</v>
      </c>
      <c r="G179" s="48">
        <v>13305106181</v>
      </c>
      <c r="H179" s="54">
        <v>45393</v>
      </c>
      <c r="I179" s="60"/>
      <c r="J179" s="48" t="s">
        <v>22</v>
      </c>
      <c r="K179" s="25" t="s">
        <v>100</v>
      </c>
    </row>
    <row r="180" spans="1:256">
      <c r="C180" s="48" t="s">
        <v>512</v>
      </c>
      <c r="D180" s="210" t="s">
        <v>513</v>
      </c>
      <c r="E180" s="48" t="s">
        <v>158</v>
      </c>
      <c r="F180" s="48">
        <v>43</v>
      </c>
      <c r="G180" s="55">
        <v>18094348016</v>
      </c>
      <c r="H180" s="50">
        <v>45401</v>
      </c>
      <c r="I180" s="50"/>
      <c r="J180" s="48" t="s">
        <v>22</v>
      </c>
      <c r="K180" s="48" t="s">
        <v>322</v>
      </c>
    </row>
    <row r="181" spans="1:256">
      <c r="C181" s="61" t="s">
        <v>514</v>
      </c>
      <c r="D181" s="213" t="s">
        <v>515</v>
      </c>
      <c r="E181" s="18" t="s">
        <v>158</v>
      </c>
      <c r="F181" s="18">
        <v>31</v>
      </c>
      <c r="G181" s="18">
        <v>18851188418</v>
      </c>
      <c r="H181" s="50">
        <v>45363</v>
      </c>
      <c r="I181" s="8"/>
      <c r="J181" s="48" t="s">
        <v>22</v>
      </c>
      <c r="K181" s="18" t="s">
        <v>516</v>
      </c>
      <c r="L181" s="25" t="str">
        <f ca="1">DATEDIF(H181,TODAY(),"Y")&amp;"年"&amp;DATEDIF(H181,TODAY(),"YM")&amp;"个月"</f>
        <v>2年1个月</v>
      </c>
      <c r="N181" s="60"/>
    </row>
    <row r="182" spans="1:256">
      <c r="C182" s="48" t="s">
        <v>517</v>
      </c>
      <c r="D182" s="210" t="s">
        <v>518</v>
      </c>
      <c r="E182" s="48" t="s">
        <v>152</v>
      </c>
      <c r="F182" s="48">
        <v>49</v>
      </c>
      <c r="G182" s="48">
        <v>15861900116</v>
      </c>
      <c r="H182" s="54">
        <v>45384</v>
      </c>
      <c r="I182" s="60" t="s">
        <v>519</v>
      </c>
      <c r="J182" s="48" t="s">
        <v>22</v>
      </c>
      <c r="K182" s="25" t="s">
        <v>100</v>
      </c>
    </row>
    <row r="183" spans="1:256">
      <c r="C183" s="48" t="s">
        <v>520</v>
      </c>
      <c r="D183" s="48" t="s">
        <v>521</v>
      </c>
      <c r="E183" s="48" t="s">
        <v>152</v>
      </c>
      <c r="F183" s="48">
        <v>49</v>
      </c>
      <c r="G183" s="48">
        <v>13390691990</v>
      </c>
      <c r="H183" s="54">
        <v>45393</v>
      </c>
      <c r="I183" s="60" t="s">
        <v>519</v>
      </c>
      <c r="J183" s="48" t="s">
        <v>22</v>
      </c>
      <c r="K183" s="25" t="s">
        <v>100</v>
      </c>
    </row>
    <row r="184" spans="1:256">
      <c r="C184" s="48" t="s">
        <v>522</v>
      </c>
      <c r="D184" s="210" t="s">
        <v>523</v>
      </c>
      <c r="E184" s="48" t="s">
        <v>158</v>
      </c>
      <c r="F184" s="48">
        <v>54</v>
      </c>
      <c r="G184" s="48">
        <v>18754127908</v>
      </c>
      <c r="H184" s="54">
        <v>45393</v>
      </c>
      <c r="I184" s="60" t="s">
        <v>524</v>
      </c>
      <c r="J184" s="48" t="s">
        <v>22</v>
      </c>
      <c r="K184" s="25" t="s">
        <v>100</v>
      </c>
    </row>
    <row r="185" spans="1:256">
      <c r="C185" s="48" t="s">
        <v>525</v>
      </c>
      <c r="D185" s="210" t="s">
        <v>526</v>
      </c>
      <c r="E185" s="48" t="s">
        <v>158</v>
      </c>
      <c r="F185" s="48">
        <v>45</v>
      </c>
      <c r="G185" s="48">
        <v>15151065122</v>
      </c>
      <c r="H185" s="54">
        <v>45400</v>
      </c>
      <c r="I185" s="60" t="s">
        <v>519</v>
      </c>
      <c r="J185" s="48" t="s">
        <v>22</v>
      </c>
      <c r="K185" s="25" t="s">
        <v>100</v>
      </c>
    </row>
    <row r="186" spans="1:256">
      <c r="C186" s="48" t="s">
        <v>527</v>
      </c>
      <c r="D186" s="60"/>
      <c r="E186" s="60"/>
      <c r="F186" s="60"/>
      <c r="G186" s="60"/>
      <c r="H186" s="60"/>
      <c r="I186" s="60"/>
      <c r="J186" s="60"/>
    </row>
    <row r="187" spans="1:256">
      <c r="C187" s="48" t="s">
        <v>528</v>
      </c>
      <c r="D187" s="48" t="s">
        <v>529</v>
      </c>
      <c r="E187" s="25" t="s">
        <v>152</v>
      </c>
      <c r="F187" s="48">
        <f ca="1">YEAR(NOW())-MID(D187,7,4)</f>
        <v>47</v>
      </c>
      <c r="G187" s="55">
        <v>15751128970</v>
      </c>
      <c r="H187" s="50">
        <v>45250</v>
      </c>
      <c r="I187" s="50"/>
      <c r="J187" s="48"/>
      <c r="K187" s="48" t="s">
        <v>100</v>
      </c>
      <c r="L187" s="25" t="str">
        <f ca="1">DATEDIF(H187,TODAY(),"Y")&amp;"年"&amp;DATEDIF(H187,TODAY(),"YM")&amp;"个月"</f>
        <v>2年4个月</v>
      </c>
      <c r="N187" s="25" t="s">
        <v>154</v>
      </c>
    </row>
    <row r="188" spans="1:256">
      <c r="C188" s="39" t="s">
        <v>530</v>
      </c>
      <c r="D188" s="209" t="s">
        <v>531</v>
      </c>
      <c r="E188" s="24" t="s">
        <v>158</v>
      </c>
      <c r="F188" s="24">
        <f ca="1">YEAR(NOW())-MID(D188,7,4)</f>
        <v>54</v>
      </c>
      <c r="G188" s="26">
        <v>18015406362</v>
      </c>
      <c r="H188" s="27">
        <v>45223</v>
      </c>
      <c r="I188" s="27"/>
      <c r="J188" s="24"/>
      <c r="K188" s="25" t="s">
        <v>100</v>
      </c>
      <c r="L188" s="25" t="str">
        <f ca="1">DATEDIF(H188,TODAY(),"Y")&amp;"年"&amp;DATEDIF(H188,TODAY(),"YM")&amp;"个月"</f>
        <v>2年5个月</v>
      </c>
      <c r="M188" s="25" t="s">
        <v>154</v>
      </c>
    </row>
    <row r="189" spans="1:256">
      <c r="C189" s="48" t="s">
        <v>436</v>
      </c>
      <c r="D189" s="210" t="s">
        <v>437</v>
      </c>
      <c r="E189" s="48" t="s">
        <v>158</v>
      </c>
      <c r="F189" s="48">
        <v>54</v>
      </c>
      <c r="G189" s="55"/>
      <c r="H189" s="50"/>
      <c r="I189" s="65" t="s">
        <v>532</v>
      </c>
    </row>
    <row r="190" spans="1:256">
      <c r="C190" s="48" t="s">
        <v>533</v>
      </c>
      <c r="D190" s="210" t="s">
        <v>534</v>
      </c>
      <c r="E190" s="48" t="s">
        <v>152</v>
      </c>
      <c r="F190" s="60"/>
      <c r="G190" s="48">
        <v>18261288936</v>
      </c>
      <c r="H190" s="54">
        <v>45393</v>
      </c>
      <c r="I190" s="60"/>
      <c r="J190" s="48" t="s">
        <v>22</v>
      </c>
      <c r="K190" s="25" t="s">
        <v>100</v>
      </c>
    </row>
    <row r="191" spans="1:256">
      <c r="C191" s="48" t="s">
        <v>535</v>
      </c>
      <c r="D191" s="210" t="s">
        <v>536</v>
      </c>
      <c r="E191" s="48" t="s">
        <v>152</v>
      </c>
      <c r="F191" s="48">
        <v>33</v>
      </c>
      <c r="G191" s="55">
        <v>15216660367</v>
      </c>
      <c r="H191" s="27">
        <v>45341</v>
      </c>
      <c r="J191" s="50"/>
      <c r="K191" s="48" t="s">
        <v>385</v>
      </c>
      <c r="L191" s="48" t="s">
        <v>168</v>
      </c>
      <c r="M191" s="47" t="str">
        <f ca="1">DATEDIF(H191,TODAY(),"Y")&amp;"年"&amp;DATEDIF(H191,TODAY(),"YM")&amp;"个月"</f>
        <v>2年1个月</v>
      </c>
      <c r="N191" s="25" t="s">
        <v>154</v>
      </c>
    </row>
    <row r="192" spans="1:256">
      <c r="C192" s="18" t="s">
        <v>537</v>
      </c>
      <c r="D192" s="18"/>
      <c r="E192" s="18"/>
      <c r="F192" s="18"/>
      <c r="G192" s="18"/>
      <c r="H192" s="18"/>
      <c r="I192" s="66">
        <v>45442</v>
      </c>
      <c r="J192" s="18"/>
      <c r="K192" s="67" t="s">
        <v>22</v>
      </c>
      <c r="L192" s="18" t="s">
        <v>400</v>
      </c>
    </row>
    <row r="193" spans="2:14">
      <c r="C193" s="68" t="s">
        <v>538</v>
      </c>
      <c r="D193" s="214" t="s">
        <v>539</v>
      </c>
      <c r="E193" s="69" t="s">
        <v>158</v>
      </c>
      <c r="F193" s="69">
        <v>47</v>
      </c>
      <c r="G193" s="69">
        <v>18796554946</v>
      </c>
      <c r="H193" s="70">
        <v>45436</v>
      </c>
      <c r="I193" s="68"/>
      <c r="J193" s="69" t="s">
        <v>22</v>
      </c>
      <c r="K193" s="69" t="s">
        <v>322</v>
      </c>
    </row>
    <row r="194" spans="2:14">
      <c r="C194" s="71" t="s">
        <v>540</v>
      </c>
      <c r="D194" s="215" t="s">
        <v>541</v>
      </c>
      <c r="E194" s="71" t="s">
        <v>158</v>
      </c>
      <c r="F194" s="71">
        <v>49</v>
      </c>
      <c r="G194" s="71">
        <v>18701794887</v>
      </c>
      <c r="H194" s="72">
        <v>45444</v>
      </c>
      <c r="I194" s="71" t="s">
        <v>542</v>
      </c>
      <c r="J194" s="71" t="s">
        <v>22</v>
      </c>
      <c r="K194" s="71" t="s">
        <v>543</v>
      </c>
    </row>
    <row r="195" spans="2:14">
      <c r="C195" s="48" t="s">
        <v>544</v>
      </c>
      <c r="D195" s="210" t="s">
        <v>545</v>
      </c>
      <c r="E195" s="48" t="s">
        <v>152</v>
      </c>
      <c r="F195" s="48">
        <v>55</v>
      </c>
      <c r="G195" s="48">
        <v>17351576232</v>
      </c>
      <c r="H195" s="54">
        <v>45429</v>
      </c>
      <c r="I195" s="60"/>
      <c r="J195" s="48" t="s">
        <v>22</v>
      </c>
      <c r="L195" s="60"/>
    </row>
    <row r="196" spans="2:14">
      <c r="C196" s="48" t="s">
        <v>546</v>
      </c>
      <c r="D196" s="60"/>
      <c r="E196" s="60"/>
      <c r="F196" s="60"/>
      <c r="G196" s="48">
        <v>18451325637</v>
      </c>
      <c r="H196" s="60"/>
      <c r="I196" s="60"/>
      <c r="J196" s="48"/>
      <c r="K196" s="60"/>
      <c r="L196" s="48" t="s">
        <v>547</v>
      </c>
    </row>
    <row r="197" spans="2:14">
      <c r="C197" s="48" t="s">
        <v>548</v>
      </c>
      <c r="D197" s="210" t="s">
        <v>549</v>
      </c>
      <c r="E197" s="48" t="s">
        <v>158</v>
      </c>
      <c r="F197" s="48">
        <v>55</v>
      </c>
      <c r="G197" s="48">
        <v>13815557626</v>
      </c>
      <c r="H197" s="54">
        <v>45416</v>
      </c>
      <c r="I197" s="60"/>
      <c r="J197" s="48" t="s">
        <v>22</v>
      </c>
      <c r="K197" s="25" t="s">
        <v>100</v>
      </c>
    </row>
    <row r="198" spans="2:14">
      <c r="C198" s="48" t="s">
        <v>550</v>
      </c>
      <c r="D198" s="210" t="s">
        <v>551</v>
      </c>
      <c r="E198" s="48" t="s">
        <v>152</v>
      </c>
      <c r="F198" s="48">
        <v>38</v>
      </c>
      <c r="G198" s="48">
        <v>18961901365</v>
      </c>
      <c r="H198" s="54">
        <v>45432</v>
      </c>
      <c r="I198" s="60"/>
      <c r="J198" s="48" t="s">
        <v>22</v>
      </c>
      <c r="L198" s="60"/>
    </row>
    <row r="199" spans="2:14">
      <c r="C199" s="69" t="s">
        <v>552</v>
      </c>
      <c r="D199" s="214" t="s">
        <v>553</v>
      </c>
      <c r="E199" s="69" t="s">
        <v>152</v>
      </c>
      <c r="F199" s="69">
        <v>36</v>
      </c>
      <c r="G199" s="69">
        <v>18752235795</v>
      </c>
      <c r="H199" s="70">
        <v>45444</v>
      </c>
      <c r="I199" s="69"/>
      <c r="J199" s="69"/>
      <c r="K199" s="69" t="s">
        <v>554</v>
      </c>
    </row>
    <row r="200" spans="2:14">
      <c r="C200" s="25" t="s">
        <v>555</v>
      </c>
      <c r="D200" s="205" t="s">
        <v>556</v>
      </c>
      <c r="E200" s="25" t="s">
        <v>158</v>
      </c>
      <c r="F200" s="24">
        <v>48</v>
      </c>
      <c r="G200" s="26">
        <v>18014100006</v>
      </c>
      <c r="H200" s="27">
        <v>45320</v>
      </c>
      <c r="I200" s="27"/>
      <c r="J200" s="25" t="s">
        <v>316</v>
      </c>
      <c r="K200" s="25" t="s">
        <v>443</v>
      </c>
      <c r="L200" s="47" t="str">
        <f ca="1" t="shared" ref="L200:L202" si="32">DATEDIF(H200,TODAY(),"Y")&amp;"年"&amp;DATEDIF(H200,TODAY(),"YM")&amp;"个月"</f>
        <v>2年2个月</v>
      </c>
      <c r="M200" s="25" t="s">
        <v>154</v>
      </c>
      <c r="N200" s="24" t="s">
        <v>316</v>
      </c>
    </row>
    <row r="201" spans="2:14">
      <c r="C201" s="48" t="s">
        <v>557</v>
      </c>
      <c r="D201" s="210" t="s">
        <v>558</v>
      </c>
      <c r="E201" s="48" t="s">
        <v>158</v>
      </c>
      <c r="F201" s="48">
        <v>34</v>
      </c>
      <c r="G201" s="55">
        <v>15366505916</v>
      </c>
      <c r="H201" s="50">
        <v>45244</v>
      </c>
      <c r="I201" s="50"/>
      <c r="J201" s="48"/>
      <c r="K201" s="48" t="s">
        <v>123</v>
      </c>
      <c r="L201" s="25" t="str">
        <f ca="1" t="shared" si="32"/>
        <v>2年4个月</v>
      </c>
      <c r="M201" s="25" t="s">
        <v>154</v>
      </c>
    </row>
    <row r="202" spans="2:14">
      <c r="C202" s="25" t="s">
        <v>559</v>
      </c>
      <c r="D202" s="205" t="s">
        <v>560</v>
      </c>
      <c r="E202" s="25" t="str">
        <f>IF(MOD(MID(D202,17,1),2),"男","女")</f>
        <v>女</v>
      </c>
      <c r="F202" s="24">
        <f ca="1">YEAR(NOW())-MID(D202,7,4)</f>
        <v>38</v>
      </c>
      <c r="G202" s="26">
        <v>18936324520</v>
      </c>
      <c r="H202" s="27">
        <v>45020</v>
      </c>
      <c r="I202" s="27"/>
      <c r="J202" s="25" t="s">
        <v>351</v>
      </c>
      <c r="K202" s="25" t="s">
        <v>561</v>
      </c>
      <c r="L202" s="25" t="str">
        <f ca="1" t="shared" si="32"/>
        <v>3年0个月</v>
      </c>
      <c r="M202" s="25" t="s">
        <v>154</v>
      </c>
    </row>
    <row r="203" spans="2:14">
      <c r="C203" s="73" t="s">
        <v>562</v>
      </c>
      <c r="D203" s="73"/>
      <c r="E203" s="74"/>
      <c r="F203" s="73"/>
      <c r="G203" s="73"/>
      <c r="H203" s="73"/>
      <c r="I203" s="74">
        <v>45442</v>
      </c>
      <c r="J203" s="18"/>
      <c r="K203" s="67" t="s">
        <v>22</v>
      </c>
      <c r="L203" s="18" t="s">
        <v>400</v>
      </c>
    </row>
    <row r="204" spans="2:14">
      <c r="C204" s="73" t="s">
        <v>563</v>
      </c>
      <c r="D204" s="216" t="s">
        <v>564</v>
      </c>
      <c r="E204" s="73" t="s">
        <v>152</v>
      </c>
      <c r="F204" s="73">
        <v>54</v>
      </c>
      <c r="G204" s="73">
        <v>15861939515</v>
      </c>
      <c r="H204" s="74">
        <v>45455</v>
      </c>
      <c r="I204" s="8"/>
      <c r="J204" s="18" t="s">
        <v>22</v>
      </c>
      <c r="K204" s="18" t="s">
        <v>400</v>
      </c>
    </row>
    <row r="205" spans="2:14">
      <c r="B205" s="25"/>
      <c r="C205" s="25" t="s">
        <v>565</v>
      </c>
      <c r="D205" s="25" t="s">
        <v>566</v>
      </c>
      <c r="E205" s="25" t="str">
        <f>IF(MOD(MID(D205,17,1),2),"男","女")</f>
        <v>男</v>
      </c>
      <c r="F205" s="24">
        <f ca="1">YEAR(NOW())-MID(D205,7,4)</f>
        <v>52</v>
      </c>
      <c r="G205" s="26">
        <v>18936288255</v>
      </c>
      <c r="H205" s="27">
        <v>45145</v>
      </c>
      <c r="I205" s="27"/>
      <c r="J205" s="25" t="s">
        <v>22</v>
      </c>
      <c r="K205" s="25" t="s">
        <v>100</v>
      </c>
      <c r="L205" s="25" t="str">
        <f ca="1">DATEDIF(H205,TODAY(),"Y")&amp;"年"&amp;DATEDIF(H205,TODAY(),"YM")&amp;"个月"</f>
        <v>2年8个月</v>
      </c>
      <c r="M205" s="25" t="s">
        <v>154</v>
      </c>
    </row>
    <row r="206" spans="2:14">
      <c r="B206" s="48" t="s">
        <v>567</v>
      </c>
      <c r="C206" s="75" t="s">
        <v>568</v>
      </c>
      <c r="D206" s="217" t="s">
        <v>569</v>
      </c>
      <c r="E206" s="75" t="s">
        <v>152</v>
      </c>
      <c r="F206" s="76">
        <v>33</v>
      </c>
      <c r="G206" s="76">
        <v>15961903645</v>
      </c>
      <c r="H206" s="77">
        <v>45454</v>
      </c>
      <c r="I206" s="18"/>
      <c r="J206" s="18" t="s">
        <v>22</v>
      </c>
      <c r="K206" s="18" t="s">
        <v>168</v>
      </c>
    </row>
    <row r="207" spans="2:14">
      <c r="C207" s="18" t="s">
        <v>570</v>
      </c>
      <c r="D207" s="213" t="s">
        <v>571</v>
      </c>
      <c r="E207" s="18" t="s">
        <v>152</v>
      </c>
      <c r="F207" s="18">
        <v>37</v>
      </c>
      <c r="G207" s="18">
        <v>18352087975</v>
      </c>
      <c r="H207" s="66">
        <v>45461</v>
      </c>
      <c r="I207" s="18"/>
      <c r="J207" s="18" t="s">
        <v>22</v>
      </c>
      <c r="K207" s="18" t="s">
        <v>452</v>
      </c>
    </row>
    <row r="208" spans="2:14">
      <c r="C208" s="73" t="s">
        <v>572</v>
      </c>
      <c r="D208" s="216" t="s">
        <v>573</v>
      </c>
      <c r="E208" s="73" t="s">
        <v>152</v>
      </c>
      <c r="F208" s="73">
        <v>35</v>
      </c>
      <c r="G208" s="73">
        <v>15365716798</v>
      </c>
      <c r="H208" s="74">
        <v>45448</v>
      </c>
      <c r="I208" s="8"/>
      <c r="J208" s="18" t="s">
        <v>22</v>
      </c>
      <c r="K208" s="18" t="s">
        <v>452</v>
      </c>
    </row>
    <row r="209" spans="1:256">
      <c r="C209" s="73" t="s">
        <v>574</v>
      </c>
      <c r="D209" s="216" t="s">
        <v>575</v>
      </c>
      <c r="E209" s="73" t="s">
        <v>152</v>
      </c>
      <c r="F209" s="73">
        <v>49</v>
      </c>
      <c r="G209" s="73">
        <v>18932290613</v>
      </c>
      <c r="H209" s="74">
        <v>45444</v>
      </c>
      <c r="I209" s="8"/>
      <c r="J209" s="18" t="s">
        <v>22</v>
      </c>
      <c r="K209" s="18" t="s">
        <v>452</v>
      </c>
    </row>
    <row r="210" spans="1:256">
      <c r="C210" s="73" t="s">
        <v>576</v>
      </c>
      <c r="D210" s="216" t="s">
        <v>577</v>
      </c>
      <c r="E210" s="73" t="s">
        <v>152</v>
      </c>
      <c r="F210" s="73">
        <v>42</v>
      </c>
      <c r="G210" s="73">
        <v>18261293586</v>
      </c>
      <c r="H210" s="74">
        <v>45446</v>
      </c>
      <c r="I210" s="8"/>
      <c r="J210" s="18" t="s">
        <v>22</v>
      </c>
      <c r="K210" s="18" t="s">
        <v>452</v>
      </c>
    </row>
    <row r="211" spans="1:256">
      <c r="C211" s="78" t="s">
        <v>578</v>
      </c>
      <c r="D211" s="218" t="s">
        <v>579</v>
      </c>
      <c r="E211" s="78" t="s">
        <v>158</v>
      </c>
      <c r="F211" s="78">
        <v>25</v>
      </c>
      <c r="G211" s="78">
        <v>18752062297</v>
      </c>
      <c r="H211" s="79">
        <v>45440</v>
      </c>
      <c r="I211" s="10"/>
      <c r="J211" s="80" t="s">
        <v>22</v>
      </c>
      <c r="K211" s="10"/>
    </row>
    <row r="212" spans="1:256">
      <c r="C212" s="48" t="s">
        <v>580</v>
      </c>
      <c r="D212" s="210" t="s">
        <v>581</v>
      </c>
      <c r="E212" s="48" t="s">
        <v>158</v>
      </c>
      <c r="F212" s="48">
        <v>38</v>
      </c>
      <c r="G212" s="48">
        <v>13770212019</v>
      </c>
      <c r="H212" s="54">
        <v>45415</v>
      </c>
      <c r="I212" s="60"/>
      <c r="J212" s="48" t="s">
        <v>22</v>
      </c>
      <c r="K212" s="18" t="s">
        <v>172</v>
      </c>
    </row>
    <row r="213" spans="1:256">
      <c r="C213" s="18" t="s">
        <v>582</v>
      </c>
      <c r="D213" s="213" t="s">
        <v>583</v>
      </c>
      <c r="E213" s="73" t="s">
        <v>152</v>
      </c>
      <c r="F213" s="18" t="s">
        <v>152</v>
      </c>
      <c r="G213" s="18">
        <v>13485232063</v>
      </c>
      <c r="H213" s="66">
        <v>45467</v>
      </c>
    </row>
    <row r="214" spans="1:256">
      <c r="C214" s="18" t="s">
        <v>584</v>
      </c>
      <c r="D214" s="213" t="s">
        <v>585</v>
      </c>
      <c r="E214" s="73" t="s">
        <v>152</v>
      </c>
      <c r="F214" s="18" t="s">
        <v>152</v>
      </c>
      <c r="G214" s="18">
        <v>18014656517</v>
      </c>
      <c r="H214" s="66">
        <v>45468</v>
      </c>
    </row>
    <row r="215" spans="1:256">
      <c r="C215" s="9" t="s">
        <v>586</v>
      </c>
      <c r="D215" s="219" t="s">
        <v>587</v>
      </c>
      <c r="E215" s="48" t="s">
        <v>152</v>
      </c>
      <c r="F215" s="48">
        <v>36</v>
      </c>
      <c r="G215" s="48">
        <v>18021852285</v>
      </c>
      <c r="H215" s="54">
        <v>45362</v>
      </c>
      <c r="I215" s="60"/>
      <c r="J215" s="48" t="s">
        <v>65</v>
      </c>
      <c r="K215" s="48" t="s">
        <v>277</v>
      </c>
      <c r="L215" s="25" t="str">
        <f ca="1" t="shared" ref="L215:L220" si="33">DATEDIF(H215,TODAY(),"Y")&amp;"年"&amp;DATEDIF(H215,TODAY(),"YM")&amp;"个月"</f>
        <v>2年1个月</v>
      </c>
    </row>
    <row r="216" spans="1:256">
      <c r="C216" s="18" t="s">
        <v>588</v>
      </c>
      <c r="D216" s="213" t="s">
        <v>589</v>
      </c>
      <c r="E216" s="18" t="s">
        <v>152</v>
      </c>
      <c r="F216" s="18">
        <v>47</v>
      </c>
      <c r="G216" s="18">
        <v>13770174647</v>
      </c>
      <c r="H216" s="66">
        <v>45476</v>
      </c>
      <c r="I216" s="8"/>
      <c r="J216" s="18" t="s">
        <v>22</v>
      </c>
      <c r="K216" s="18" t="s">
        <v>400</v>
      </c>
    </row>
    <row r="217" spans="1:256">
      <c r="C217" s="18" t="s">
        <v>590</v>
      </c>
      <c r="D217" s="213" t="s">
        <v>591</v>
      </c>
      <c r="E217" s="18" t="s">
        <v>152</v>
      </c>
      <c r="F217" s="18">
        <v>39</v>
      </c>
      <c r="G217" s="18">
        <v>13815553775</v>
      </c>
      <c r="H217" s="66">
        <v>45474</v>
      </c>
      <c r="I217" s="18"/>
      <c r="J217" s="81" t="s">
        <v>65</v>
      </c>
      <c r="K217" s="11" t="s">
        <v>277</v>
      </c>
    </row>
    <row r="218" spans="1:256">
      <c r="C218" s="82" t="s">
        <v>592</v>
      </c>
      <c r="D218" s="220" t="s">
        <v>593</v>
      </c>
      <c r="E218" s="82" t="s">
        <v>158</v>
      </c>
      <c r="F218" s="82">
        <v>56</v>
      </c>
      <c r="G218" s="82">
        <v>18361657755</v>
      </c>
      <c r="H218" s="83">
        <v>45436</v>
      </c>
      <c r="I218" s="84"/>
      <c r="J218" s="85" t="s">
        <v>22</v>
      </c>
      <c r="K218" s="86" t="s">
        <v>100</v>
      </c>
    </row>
    <row r="219" s="5" customFormat="1" ht="15" customHeight="1" spans="1:256">
      <c r="A219" s="24">
        <f>ROW()-2</f>
        <v>217</v>
      </c>
      <c r="B219" s="25" t="s">
        <v>594</v>
      </c>
      <c r="C219" s="25" t="s">
        <v>595</v>
      </c>
      <c r="D219" s="25" t="s">
        <v>596</v>
      </c>
      <c r="E219" s="25" t="str">
        <f>IF(MOD(MID(D219,17,1),2),"男","女")</f>
        <v>女</v>
      </c>
      <c r="F219" s="24">
        <f ca="1">YEAR(NOW())-MID(D219,7,4)</f>
        <v>41</v>
      </c>
      <c r="G219" s="28" t="s">
        <v>597</v>
      </c>
      <c r="H219" s="27">
        <v>44963</v>
      </c>
      <c r="I219" s="27"/>
      <c r="J219" s="25" t="s">
        <v>33</v>
      </c>
      <c r="K219" s="25" t="s">
        <v>176</v>
      </c>
      <c r="L219" s="25" t="str">
        <f ca="1" t="shared" si="33"/>
        <v>3年2个月</v>
      </c>
      <c r="N219" s="25" t="s">
        <v>154</v>
      </c>
      <c r="O219" s="24"/>
      <c r="P219" s="43"/>
      <c r="Q219" s="25" t="s">
        <v>598</v>
      </c>
      <c r="R219" s="41" t="s">
        <v>102</v>
      </c>
      <c r="S219" s="42" t="s">
        <v>397</v>
      </c>
      <c r="T219" s="42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5"/>
      <c r="DL219" s="15"/>
      <c r="DM219" s="15"/>
      <c r="DN219" s="15"/>
      <c r="DO219" s="15"/>
      <c r="DP219" s="15"/>
      <c r="DQ219" s="15"/>
      <c r="DR219" s="15"/>
      <c r="DS219" s="15"/>
      <c r="DT219" s="15"/>
      <c r="DU219" s="15"/>
      <c r="DV219" s="15"/>
      <c r="DW219" s="15"/>
      <c r="DX219" s="15"/>
      <c r="DY219" s="15"/>
      <c r="DZ219" s="15"/>
      <c r="EA219" s="15"/>
      <c r="EB219" s="15"/>
      <c r="EC219" s="15"/>
      <c r="ED219" s="15"/>
      <c r="EE219" s="15"/>
      <c r="EF219" s="15"/>
      <c r="EG219" s="15"/>
      <c r="EH219" s="15"/>
      <c r="EI219" s="15"/>
      <c r="EJ219" s="15"/>
      <c r="EK219" s="15"/>
      <c r="EL219" s="15"/>
      <c r="EM219" s="15"/>
      <c r="EN219" s="15"/>
      <c r="EO219" s="15"/>
      <c r="EP219" s="15"/>
      <c r="EQ219" s="15"/>
      <c r="ER219" s="15"/>
      <c r="ES219" s="15"/>
      <c r="ET219" s="15"/>
      <c r="EU219" s="15"/>
      <c r="EV219" s="15"/>
      <c r="EW219" s="15"/>
      <c r="EX219" s="15"/>
      <c r="EY219" s="15"/>
      <c r="EZ219" s="15"/>
      <c r="FA219" s="15"/>
      <c r="FB219" s="15"/>
      <c r="FC219" s="15"/>
      <c r="FD219" s="15"/>
      <c r="FE219" s="15"/>
      <c r="FF219" s="15"/>
      <c r="FG219" s="15"/>
      <c r="FH219" s="15"/>
      <c r="FI219" s="15"/>
      <c r="FJ219" s="15"/>
      <c r="FK219" s="15"/>
      <c r="FL219" s="15"/>
      <c r="FM219" s="15"/>
      <c r="FN219" s="15"/>
      <c r="FO219" s="15"/>
      <c r="FP219" s="15"/>
      <c r="FQ219" s="15"/>
      <c r="FR219" s="15"/>
      <c r="FS219" s="15"/>
      <c r="FT219" s="15"/>
      <c r="FU219" s="15"/>
      <c r="FV219" s="15"/>
      <c r="FW219" s="15"/>
      <c r="FX219" s="15"/>
      <c r="FY219" s="15"/>
      <c r="FZ219" s="15"/>
      <c r="GA219" s="15"/>
      <c r="GB219" s="15"/>
      <c r="GC219" s="15"/>
      <c r="GD219" s="15"/>
      <c r="GE219" s="15"/>
      <c r="GF219" s="15"/>
      <c r="GG219" s="15"/>
      <c r="GH219" s="15"/>
      <c r="GI219" s="15"/>
      <c r="GJ219" s="15"/>
      <c r="GK219" s="15"/>
      <c r="GL219" s="15"/>
      <c r="GM219" s="15"/>
      <c r="GN219" s="15"/>
      <c r="GO219" s="15"/>
      <c r="GP219" s="15"/>
      <c r="GQ219" s="15"/>
      <c r="GR219" s="15"/>
      <c r="GS219" s="15"/>
      <c r="GT219" s="15"/>
      <c r="GU219" s="15"/>
      <c r="GV219" s="15"/>
      <c r="GW219" s="15"/>
      <c r="GX219" s="15"/>
      <c r="GY219" s="15"/>
      <c r="GZ219" s="15"/>
      <c r="HA219" s="15"/>
      <c r="HB219" s="15"/>
      <c r="HC219" s="15"/>
      <c r="HD219" s="15"/>
      <c r="HE219" s="15"/>
      <c r="HF219" s="15"/>
      <c r="HG219" s="15"/>
      <c r="HH219" s="15"/>
      <c r="HI219" s="15"/>
      <c r="HJ219" s="15"/>
      <c r="HK219" s="15"/>
      <c r="HL219" s="15"/>
      <c r="HM219" s="15"/>
      <c r="HN219" s="15"/>
      <c r="HO219" s="15"/>
      <c r="HP219" s="15"/>
      <c r="HQ219" s="15"/>
      <c r="HR219" s="15"/>
      <c r="HS219" s="15"/>
      <c r="HT219" s="15"/>
      <c r="HU219" s="15"/>
      <c r="HV219" s="15"/>
      <c r="HW219" s="15"/>
      <c r="HX219" s="15"/>
      <c r="HY219" s="15"/>
      <c r="HZ219" s="15"/>
      <c r="IA219" s="15"/>
      <c r="IB219" s="15"/>
      <c r="IC219" s="15"/>
      <c r="ID219" s="15"/>
      <c r="IE219" s="15"/>
      <c r="IF219" s="15"/>
      <c r="IG219" s="15"/>
      <c r="IH219" s="15"/>
      <c r="II219" s="15"/>
      <c r="IJ219" s="15"/>
      <c r="IK219" s="15"/>
      <c r="IL219" s="15"/>
      <c r="IM219" s="15"/>
      <c r="IN219" s="15"/>
      <c r="IO219" s="15"/>
      <c r="IP219" s="15"/>
      <c r="IQ219" s="15"/>
      <c r="IR219" s="15"/>
      <c r="IS219" s="15"/>
      <c r="IT219" s="15"/>
      <c r="IU219" s="15"/>
      <c r="IV219" s="15"/>
    </row>
    <row r="220" s="5" customFormat="1" ht="15" customHeight="1" spans="1:256">
      <c r="A220" s="24">
        <f>ROW()-2</f>
        <v>218</v>
      </c>
      <c r="B220" s="25" t="s">
        <v>599</v>
      </c>
      <c r="C220" s="29" t="s">
        <v>600</v>
      </c>
      <c r="D220" s="205" t="s">
        <v>601</v>
      </c>
      <c r="E220" s="25" t="str">
        <f>IF(MOD(MID(D220,17,1),2),"男","女")</f>
        <v>女</v>
      </c>
      <c r="F220" s="24">
        <f ca="1">YEAR(NOW())-MID(D220,7,4)</f>
        <v>59</v>
      </c>
      <c r="G220" s="26">
        <v>15851143650</v>
      </c>
      <c r="H220" s="27">
        <v>44389</v>
      </c>
      <c r="I220" s="27"/>
      <c r="J220" s="25" t="s">
        <v>22</v>
      </c>
      <c r="K220" s="25" t="s">
        <v>100</v>
      </c>
      <c r="L220" s="25" t="str">
        <f ca="1" t="shared" si="33"/>
        <v>4年9个月</v>
      </c>
      <c r="N220" s="25" t="s">
        <v>154</v>
      </c>
      <c r="O220" s="24"/>
      <c r="P220" s="43" t="s">
        <v>303</v>
      </c>
      <c r="Q220" s="29" t="s">
        <v>602</v>
      </c>
      <c r="R220" s="41" t="s">
        <v>102</v>
      </c>
      <c r="S220" s="42"/>
      <c r="T220" s="42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  <c r="CU220" s="15"/>
      <c r="CV220" s="15"/>
      <c r="CW220" s="15"/>
      <c r="CX220" s="15"/>
      <c r="CY220" s="15"/>
      <c r="CZ220" s="15"/>
      <c r="DA220" s="15"/>
      <c r="DB220" s="15"/>
      <c r="DC220" s="15"/>
      <c r="DD220" s="15"/>
      <c r="DE220" s="15"/>
      <c r="DF220" s="15"/>
      <c r="DG220" s="15"/>
      <c r="DH220" s="15"/>
      <c r="DI220" s="15"/>
      <c r="DJ220" s="15"/>
      <c r="DK220" s="15"/>
      <c r="DL220" s="15"/>
      <c r="DM220" s="15"/>
      <c r="DN220" s="15"/>
      <c r="DO220" s="15"/>
      <c r="DP220" s="15"/>
      <c r="DQ220" s="15"/>
      <c r="DR220" s="15"/>
      <c r="DS220" s="15"/>
      <c r="DT220" s="15"/>
      <c r="DU220" s="15"/>
      <c r="DV220" s="15"/>
      <c r="DW220" s="15"/>
      <c r="DX220" s="15"/>
      <c r="DY220" s="15"/>
      <c r="DZ220" s="15"/>
      <c r="EA220" s="15"/>
      <c r="EB220" s="15"/>
      <c r="EC220" s="15"/>
      <c r="ED220" s="15"/>
      <c r="EE220" s="15"/>
      <c r="EF220" s="15"/>
      <c r="EG220" s="15"/>
      <c r="EH220" s="15"/>
      <c r="EI220" s="15"/>
      <c r="EJ220" s="15"/>
      <c r="EK220" s="15"/>
      <c r="EL220" s="15"/>
      <c r="EM220" s="15"/>
      <c r="EN220" s="15"/>
      <c r="EO220" s="15"/>
      <c r="EP220" s="15"/>
      <c r="EQ220" s="15"/>
      <c r="ER220" s="15"/>
      <c r="ES220" s="15"/>
      <c r="ET220" s="15"/>
      <c r="EU220" s="15"/>
      <c r="EV220" s="15"/>
      <c r="EW220" s="15"/>
      <c r="EX220" s="15"/>
      <c r="EY220" s="15"/>
      <c r="EZ220" s="15"/>
      <c r="FA220" s="15"/>
      <c r="FB220" s="15"/>
      <c r="FC220" s="15"/>
      <c r="FD220" s="15"/>
      <c r="FE220" s="15"/>
      <c r="FF220" s="15"/>
      <c r="FG220" s="15"/>
      <c r="FH220" s="15"/>
      <c r="FI220" s="15"/>
      <c r="FJ220" s="15"/>
      <c r="FK220" s="15"/>
      <c r="FL220" s="15"/>
      <c r="FM220" s="15"/>
      <c r="FN220" s="15"/>
      <c r="FO220" s="15"/>
      <c r="FP220" s="15"/>
      <c r="FQ220" s="15"/>
      <c r="FR220" s="15"/>
      <c r="FS220" s="15"/>
      <c r="FT220" s="15"/>
      <c r="FU220" s="15"/>
      <c r="FV220" s="15"/>
      <c r="FW220" s="15"/>
      <c r="FX220" s="15"/>
      <c r="FY220" s="15"/>
      <c r="FZ220" s="15"/>
      <c r="GA220" s="15"/>
      <c r="GB220" s="15"/>
      <c r="GC220" s="15"/>
      <c r="GD220" s="15"/>
      <c r="GE220" s="15"/>
      <c r="GF220" s="15"/>
      <c r="GG220" s="15"/>
      <c r="GH220" s="15"/>
      <c r="GI220" s="15"/>
      <c r="GJ220" s="15"/>
      <c r="GK220" s="15"/>
      <c r="GL220" s="15"/>
      <c r="GM220" s="15"/>
      <c r="GN220" s="15"/>
      <c r="GO220" s="15"/>
      <c r="GP220" s="15"/>
      <c r="GQ220" s="15"/>
      <c r="GR220" s="15"/>
      <c r="GS220" s="15"/>
      <c r="GT220" s="15"/>
      <c r="GU220" s="15"/>
      <c r="GV220" s="15"/>
      <c r="GW220" s="15"/>
      <c r="GX220" s="15"/>
      <c r="GY220" s="15"/>
      <c r="GZ220" s="15"/>
      <c r="HA220" s="15"/>
      <c r="HB220" s="15"/>
      <c r="HC220" s="15"/>
      <c r="HD220" s="15"/>
      <c r="HE220" s="15"/>
      <c r="HF220" s="15"/>
      <c r="HG220" s="15"/>
      <c r="HH220" s="15"/>
      <c r="HI220" s="15"/>
      <c r="HJ220" s="15"/>
      <c r="HK220" s="15"/>
      <c r="HL220" s="15"/>
      <c r="HM220" s="15"/>
      <c r="HN220" s="15"/>
      <c r="HO220" s="15"/>
      <c r="HP220" s="15"/>
      <c r="HQ220" s="15"/>
      <c r="HR220" s="15"/>
      <c r="HS220" s="15"/>
      <c r="HT220" s="15"/>
      <c r="HU220" s="15"/>
      <c r="HV220" s="15"/>
      <c r="HW220" s="15"/>
      <c r="HX220" s="15"/>
      <c r="HY220" s="15"/>
      <c r="HZ220" s="15"/>
      <c r="IA220" s="15"/>
      <c r="IB220" s="15"/>
      <c r="IC220" s="15"/>
      <c r="ID220" s="15"/>
      <c r="IE220" s="15"/>
      <c r="IF220" s="15"/>
      <c r="IG220" s="15"/>
      <c r="IH220" s="15"/>
      <c r="II220" s="15"/>
      <c r="IJ220" s="15"/>
      <c r="IK220" s="15"/>
      <c r="IL220" s="15"/>
      <c r="IM220" s="15"/>
      <c r="IN220" s="15"/>
      <c r="IO220" s="15"/>
      <c r="IP220" s="15"/>
      <c r="IQ220" s="15"/>
      <c r="IR220" s="15"/>
      <c r="IS220" s="15"/>
      <c r="IT220" s="15"/>
      <c r="IU220" s="15"/>
      <c r="IV220" s="15"/>
    </row>
    <row r="221" spans="1:256">
      <c r="C221" s="18" t="s">
        <v>603</v>
      </c>
      <c r="D221" s="213" t="s">
        <v>604</v>
      </c>
      <c r="E221" s="18" t="s">
        <v>152</v>
      </c>
      <c r="F221" s="18">
        <v>46</v>
      </c>
      <c r="G221" s="18">
        <v>13276206013</v>
      </c>
      <c r="H221" s="66">
        <v>45484</v>
      </c>
      <c r="I221" s="18"/>
      <c r="J221" s="18"/>
      <c r="K221" s="18" t="s">
        <v>452</v>
      </c>
    </row>
    <row r="222" spans="1:256">
      <c r="C222" s="18" t="s">
        <v>605</v>
      </c>
      <c r="D222" s="213" t="s">
        <v>606</v>
      </c>
      <c r="E222" s="18" t="s">
        <v>152</v>
      </c>
      <c r="F222" s="18">
        <v>48</v>
      </c>
      <c r="G222" s="18">
        <v>18752230981</v>
      </c>
      <c r="H222" s="66">
        <v>45484</v>
      </c>
      <c r="I222" s="18"/>
      <c r="J222" s="18"/>
      <c r="K222" s="18" t="s">
        <v>285</v>
      </c>
    </row>
    <row r="223" spans="1:256">
      <c r="C223" s="18" t="s">
        <v>607</v>
      </c>
      <c r="D223" s="213" t="s">
        <v>608</v>
      </c>
      <c r="E223" s="18" t="s">
        <v>158</v>
      </c>
      <c r="F223" s="18">
        <v>45</v>
      </c>
      <c r="G223" s="18">
        <v>13813225437</v>
      </c>
      <c r="H223" s="66">
        <v>45485</v>
      </c>
      <c r="I223" s="18"/>
      <c r="J223" s="18"/>
      <c r="K223" s="18" t="s">
        <v>115</v>
      </c>
    </row>
    <row r="224" spans="1:256">
      <c r="C224" s="18" t="s">
        <v>609</v>
      </c>
      <c r="D224" s="213" t="s">
        <v>610</v>
      </c>
      <c r="E224" s="18" t="s">
        <v>152</v>
      </c>
      <c r="F224" s="18">
        <v>42</v>
      </c>
      <c r="G224" s="18">
        <v>15195151016</v>
      </c>
      <c r="H224" s="66">
        <v>45481</v>
      </c>
      <c r="I224" s="8"/>
      <c r="J224" s="31" t="s">
        <v>22</v>
      </c>
      <c r="K224" s="31" t="s">
        <v>400</v>
      </c>
      <c r="L224" s="25" t="str">
        <f ca="1" t="shared" ref="L224:L230" si="34">DATEDIF(H224,TODAY(),"Y")&amp;"年"&amp;DATEDIF(H224,TODAY(),"YM")&amp;"个月"</f>
        <v>1年9个月</v>
      </c>
    </row>
    <row r="225" spans="3:14">
      <c r="C225" s="30" t="s">
        <v>611</v>
      </c>
      <c r="D225" s="213" t="s">
        <v>612</v>
      </c>
      <c r="E225" s="18" t="s">
        <v>158</v>
      </c>
      <c r="F225" s="18">
        <v>43</v>
      </c>
      <c r="G225" s="18">
        <v>15189273996</v>
      </c>
      <c r="H225" s="66">
        <v>45468</v>
      </c>
      <c r="I225" s="24"/>
      <c r="J225" s="25" t="s">
        <v>22</v>
      </c>
      <c r="K225" s="25" t="s">
        <v>322</v>
      </c>
      <c r="L225" s="25" t="str">
        <f ca="1" t="shared" si="34"/>
        <v>1年9个月</v>
      </c>
    </row>
    <row r="226" spans="3:14">
      <c r="C226" s="11" t="s">
        <v>613</v>
      </c>
      <c r="D226" s="11" t="s">
        <v>614</v>
      </c>
      <c r="E226" s="18" t="s">
        <v>152</v>
      </c>
      <c r="F226" s="18">
        <v>47</v>
      </c>
      <c r="G226" s="18">
        <v>15189372173</v>
      </c>
      <c r="H226" s="66">
        <v>45495</v>
      </c>
      <c r="I226" s="8"/>
      <c r="J226" s="31" t="s">
        <v>22</v>
      </c>
      <c r="K226" s="18" t="s">
        <v>322</v>
      </c>
      <c r="L226" s="8"/>
      <c r="N226" s="67" t="s">
        <v>615</v>
      </c>
    </row>
    <row r="227" spans="3:14">
      <c r="C227" s="18" t="s">
        <v>616</v>
      </c>
      <c r="D227" s="213" t="s">
        <v>617</v>
      </c>
      <c r="E227" s="18"/>
      <c r="F227" s="18">
        <v>47</v>
      </c>
      <c r="G227" s="18">
        <v>18905116727</v>
      </c>
      <c r="H227" s="66">
        <v>45495</v>
      </c>
      <c r="I227" s="8"/>
      <c r="J227" s="31"/>
      <c r="K227" s="31"/>
      <c r="L227" s="25"/>
      <c r="N227" s="67" t="s">
        <v>615</v>
      </c>
    </row>
    <row r="228" spans="3:14">
      <c r="C228" s="18" t="s">
        <v>618</v>
      </c>
      <c r="D228" s="213" t="s">
        <v>619</v>
      </c>
      <c r="E228" s="18" t="s">
        <v>152</v>
      </c>
      <c r="F228" s="18">
        <v>41</v>
      </c>
      <c r="G228" s="213" t="s">
        <v>620</v>
      </c>
      <c r="H228" s="66">
        <v>45497</v>
      </c>
      <c r="I228" s="8"/>
      <c r="J228" s="18" t="s">
        <v>22</v>
      </c>
      <c r="K228" s="8"/>
      <c r="L228" s="8"/>
    </row>
    <row r="229" spans="3:14">
      <c r="C229" s="31" t="s">
        <v>621</v>
      </c>
      <c r="D229" s="221" t="s">
        <v>622</v>
      </c>
      <c r="E229" s="31" t="s">
        <v>152</v>
      </c>
      <c r="F229" s="31">
        <v>45</v>
      </c>
      <c r="G229" s="31">
        <v>18912535359</v>
      </c>
      <c r="H229" s="87">
        <v>45479</v>
      </c>
      <c r="I229" s="31"/>
      <c r="J229" s="31" t="s">
        <v>22</v>
      </c>
      <c r="K229" s="31" t="s">
        <v>400</v>
      </c>
      <c r="L229" s="25" t="str">
        <f ca="1" t="shared" si="34"/>
        <v>1年9个月</v>
      </c>
    </row>
    <row r="230" spans="3:14">
      <c r="C230" s="18" t="s">
        <v>623</v>
      </c>
      <c r="D230" s="213" t="s">
        <v>624</v>
      </c>
      <c r="E230" s="18" t="s">
        <v>152</v>
      </c>
      <c r="F230" s="18">
        <v>50</v>
      </c>
      <c r="G230" s="18">
        <v>13921850286</v>
      </c>
      <c r="H230" s="66">
        <v>45476</v>
      </c>
      <c r="I230" s="18"/>
      <c r="J230" s="18" t="s">
        <v>22</v>
      </c>
      <c r="K230" s="18" t="s">
        <v>452</v>
      </c>
      <c r="L230" s="25" t="str">
        <f ca="1" t="shared" si="34"/>
        <v>1年9个月</v>
      </c>
    </row>
    <row r="231" spans="3:14">
      <c r="C231" s="18" t="s">
        <v>625</v>
      </c>
      <c r="D231" s="18" t="s">
        <v>626</v>
      </c>
      <c r="E231" s="18" t="s">
        <v>152</v>
      </c>
      <c r="F231" s="18">
        <v>51</v>
      </c>
      <c r="G231" s="18">
        <v>18912531559</v>
      </c>
      <c r="H231" s="66">
        <v>45462</v>
      </c>
      <c r="J231" s="8"/>
      <c r="K231" s="8" t="s">
        <v>22</v>
      </c>
      <c r="L231" s="18" t="s">
        <v>400</v>
      </c>
      <c r="M231" s="25" t="str">
        <f ca="1" t="shared" ref="M231:M238" si="35">DATEDIF(H231,TODAY(),"Y")&amp;"年"&amp;DATEDIF(H231,TODAY(),"YM")&amp;"个月"</f>
        <v>1年9个月</v>
      </c>
    </row>
    <row r="232" spans="3:14">
      <c r="C232" s="18" t="s">
        <v>627</v>
      </c>
      <c r="D232" s="213" t="s">
        <v>628</v>
      </c>
      <c r="E232" s="18" t="s">
        <v>152</v>
      </c>
      <c r="F232" s="18">
        <v>53</v>
      </c>
      <c r="G232" s="18">
        <v>18036286778</v>
      </c>
      <c r="H232" s="66">
        <v>45464</v>
      </c>
      <c r="J232" s="18"/>
      <c r="K232" s="8" t="s">
        <v>22</v>
      </c>
      <c r="L232" s="18" t="s">
        <v>400</v>
      </c>
      <c r="M232" s="25" t="str">
        <f ca="1" t="shared" si="35"/>
        <v>1年9个月</v>
      </c>
    </row>
    <row r="233" spans="3:14">
      <c r="C233" s="88" t="s">
        <v>629</v>
      </c>
      <c r="D233" s="222" t="s">
        <v>630</v>
      </c>
      <c r="E233" s="73" t="s">
        <v>152</v>
      </c>
      <c r="F233" s="73">
        <v>43</v>
      </c>
      <c r="G233" s="73">
        <v>15251159487</v>
      </c>
      <c r="H233" s="74">
        <v>45441</v>
      </c>
    </row>
    <row r="234" spans="3:14">
      <c r="C234" s="73" t="s">
        <v>631</v>
      </c>
      <c r="D234" s="73" t="s">
        <v>632</v>
      </c>
      <c r="E234" s="73" t="s">
        <v>152</v>
      </c>
      <c r="F234" s="73">
        <v>44</v>
      </c>
      <c r="G234" s="73">
        <v>13815548520</v>
      </c>
      <c r="H234" s="74">
        <v>45441</v>
      </c>
    </row>
    <row r="235" spans="3:14">
      <c r="C235" s="64" t="s">
        <v>633</v>
      </c>
      <c r="D235" s="223" t="s">
        <v>634</v>
      </c>
      <c r="E235" s="64" t="s">
        <v>152</v>
      </c>
      <c r="F235" s="64">
        <v>38</v>
      </c>
      <c r="G235" s="64">
        <v>19850928912</v>
      </c>
      <c r="H235" s="90">
        <v>45420</v>
      </c>
      <c r="I235" s="60"/>
      <c r="J235" s="48" t="s">
        <v>22</v>
      </c>
      <c r="L235" s="48" t="s">
        <v>238</v>
      </c>
      <c r="M235" s="25" t="str">
        <f ca="1" t="shared" si="35"/>
        <v>1年11个月</v>
      </c>
    </row>
    <row r="236" spans="3:14">
      <c r="C236" s="73" t="s">
        <v>635</v>
      </c>
      <c r="D236" s="216" t="s">
        <v>636</v>
      </c>
      <c r="E236" s="73" t="s">
        <v>152</v>
      </c>
      <c r="F236" s="73">
        <v>43</v>
      </c>
      <c r="G236" s="73">
        <v>18361651219</v>
      </c>
      <c r="H236" s="74">
        <v>45442</v>
      </c>
      <c r="I236" s="18"/>
      <c r="J236" s="67" t="s">
        <v>22</v>
      </c>
      <c r="L236" s="18" t="s">
        <v>452</v>
      </c>
      <c r="M236" s="25" t="str">
        <f ca="1" t="shared" si="35"/>
        <v>1年10个月</v>
      </c>
    </row>
    <row r="237" spans="3:14">
      <c r="C237" s="73" t="s">
        <v>637</v>
      </c>
      <c r="D237" s="216" t="s">
        <v>638</v>
      </c>
      <c r="E237" s="73" t="s">
        <v>152</v>
      </c>
      <c r="F237" s="73">
        <v>44</v>
      </c>
      <c r="G237" s="73">
        <v>17768202925</v>
      </c>
      <c r="H237" s="74">
        <v>45444</v>
      </c>
      <c r="I237" s="18"/>
      <c r="J237" s="18" t="s">
        <v>22</v>
      </c>
      <c r="L237" s="18" t="s">
        <v>452</v>
      </c>
      <c r="M237" s="25" t="str">
        <f ca="1" t="shared" si="35"/>
        <v>1年10个月</v>
      </c>
    </row>
    <row r="238" spans="3:14">
      <c r="C238" s="18" t="s">
        <v>639</v>
      </c>
      <c r="D238" s="213" t="s">
        <v>640</v>
      </c>
      <c r="E238" s="18" t="s">
        <v>152</v>
      </c>
      <c r="F238" s="18">
        <v>39</v>
      </c>
      <c r="G238" s="18" t="s">
        <v>641</v>
      </c>
      <c r="H238" s="66">
        <v>45474</v>
      </c>
      <c r="I238" s="18"/>
      <c r="J238" s="18" t="s">
        <v>22</v>
      </c>
      <c r="L238" s="18" t="s">
        <v>400</v>
      </c>
      <c r="M238" s="25" t="str">
        <f ca="1" t="shared" si="35"/>
        <v>1年9个月</v>
      </c>
    </row>
    <row r="239" spans="3:14">
      <c r="C239" s="18" t="s">
        <v>642</v>
      </c>
      <c r="D239" s="213" t="s">
        <v>643</v>
      </c>
      <c r="E239" s="18" t="s">
        <v>152</v>
      </c>
      <c r="F239" s="18">
        <v>35</v>
      </c>
      <c r="G239" s="18">
        <v>15366543076</v>
      </c>
      <c r="H239" s="66">
        <v>45506</v>
      </c>
      <c r="I239" s="18"/>
      <c r="J239" s="18" t="s">
        <v>33</v>
      </c>
      <c r="L239" s="81" t="s">
        <v>340</v>
      </c>
      <c r="M239" s="11"/>
    </row>
    <row r="240" spans="3:14">
      <c r="C240" s="18" t="s">
        <v>644</v>
      </c>
      <c r="D240" s="213" t="s">
        <v>645</v>
      </c>
      <c r="E240" s="18" t="s">
        <v>152</v>
      </c>
      <c r="F240" s="18">
        <v>48</v>
      </c>
      <c r="G240" s="18">
        <v>18251432831</v>
      </c>
      <c r="H240" s="8"/>
      <c r="I240" s="66">
        <v>45528</v>
      </c>
      <c r="J240" s="18" t="s">
        <v>22</v>
      </c>
    </row>
    <row r="241" spans="1:256">
      <c r="C241" s="61" t="s">
        <v>646</v>
      </c>
      <c r="D241" s="61" t="s">
        <v>647</v>
      </c>
      <c r="E241" s="25" t="str">
        <f t="shared" ref="E241:E244" si="36">IF(MOD(MID(D241,17,1),2),"男","女")</f>
        <v>女</v>
      </c>
      <c r="F241" s="24">
        <f ca="1">YEAR(NOW())-MID(D241,7,4)</f>
        <v>37</v>
      </c>
      <c r="G241" s="28" t="s">
        <v>648</v>
      </c>
      <c r="H241" s="27">
        <v>44973</v>
      </c>
      <c r="I241" s="27">
        <v>45514</v>
      </c>
      <c r="J241" s="25" t="s">
        <v>394</v>
      </c>
      <c r="L241" s="25" t="s">
        <v>649</v>
      </c>
      <c r="M241" s="25" t="str">
        <f ca="1">DATEDIF(H241,TODAY(),"Y")&amp;"年"&amp;DATEDIF(H241,TODAY(),"YM")&amp;"个月"</f>
        <v>3年1个月</v>
      </c>
      <c r="N241" s="25" t="s">
        <v>154</v>
      </c>
    </row>
    <row r="242" s="7" customFormat="1" ht="15" customHeight="1" spans="1:256">
      <c r="A242" s="24">
        <f t="shared" ref="A242:A246" si="37">ROW()-2</f>
        <v>240</v>
      </c>
      <c r="B242" s="25" t="s">
        <v>650</v>
      </c>
      <c r="C242" s="25" t="s">
        <v>651</v>
      </c>
      <c r="D242" s="205" t="s">
        <v>652</v>
      </c>
      <c r="E242" s="25" t="str">
        <f t="shared" si="36"/>
        <v>男</v>
      </c>
      <c r="F242" s="24">
        <f ca="1">YEAR(NOW())-MID(D242,7,4)</f>
        <v>44</v>
      </c>
      <c r="G242" s="26">
        <v>15973706322</v>
      </c>
      <c r="H242" s="27">
        <v>45150</v>
      </c>
      <c r="I242" s="27"/>
      <c r="J242" s="25" t="s">
        <v>22</v>
      </c>
      <c r="K242" s="25" t="s">
        <v>100</v>
      </c>
      <c r="L242" s="25" t="str">
        <f ca="1" t="shared" ref="L242:L245" si="38">DATEDIF(H242,TODAY(),"Y")&amp;"年"&amp;DATEDIF(H242,TODAY(),"YM")&amp;"个月"</f>
        <v>2年8个月</v>
      </c>
      <c r="M242" s="25" t="s">
        <v>154</v>
      </c>
      <c r="N242" s="24"/>
      <c r="O242" s="43" t="s">
        <v>303</v>
      </c>
      <c r="P242" s="29" t="s">
        <v>101</v>
      </c>
      <c r="Q242" s="91" t="s">
        <v>111</v>
      </c>
      <c r="S242" s="92"/>
      <c r="T242" s="92"/>
      <c r="U242" s="93"/>
      <c r="V242" s="93"/>
      <c r="W242" s="93"/>
      <c r="X242" s="93"/>
      <c r="Y242" s="93"/>
      <c r="Z242" s="93"/>
      <c r="AA242" s="93"/>
      <c r="AB242" s="93"/>
      <c r="AC242" s="93"/>
      <c r="AD242" s="93"/>
      <c r="AE242" s="93"/>
      <c r="AF242" s="93"/>
      <c r="AG242" s="93"/>
      <c r="AH242" s="93"/>
      <c r="AI242" s="93"/>
      <c r="AJ242" s="93"/>
      <c r="AK242" s="93"/>
      <c r="AL242" s="93"/>
      <c r="AM242" s="93"/>
      <c r="AN242" s="93"/>
      <c r="AO242" s="93"/>
      <c r="AP242" s="93"/>
      <c r="AQ242" s="93"/>
      <c r="AR242" s="93"/>
      <c r="AS242" s="93"/>
      <c r="AT242" s="93"/>
      <c r="AU242" s="93"/>
      <c r="AV242" s="93"/>
      <c r="AW242" s="93"/>
      <c r="AX242" s="93"/>
      <c r="AY242" s="93"/>
      <c r="AZ242" s="93"/>
      <c r="BA242" s="93"/>
      <c r="BB242" s="93"/>
      <c r="BC242" s="93"/>
      <c r="BD242" s="93"/>
      <c r="BE242" s="93"/>
      <c r="BF242" s="93"/>
      <c r="BG242" s="93"/>
      <c r="BH242" s="93"/>
      <c r="BI242" s="93"/>
      <c r="BJ242" s="93"/>
      <c r="BK242" s="93"/>
      <c r="BL242" s="93"/>
      <c r="BM242" s="93"/>
      <c r="BN242" s="93"/>
      <c r="BO242" s="93"/>
      <c r="BP242" s="93"/>
      <c r="BQ242" s="93"/>
      <c r="BR242" s="93"/>
      <c r="BS242" s="93"/>
      <c r="BT242" s="93"/>
      <c r="BU242" s="93"/>
      <c r="BV242" s="93"/>
      <c r="BW242" s="93"/>
      <c r="BX242" s="93"/>
      <c r="BY242" s="93"/>
      <c r="BZ242" s="93"/>
      <c r="CA242" s="93"/>
      <c r="CB242" s="93"/>
      <c r="CC242" s="93"/>
      <c r="CD242" s="93"/>
      <c r="CE242" s="93"/>
      <c r="CF242" s="93"/>
      <c r="CG242" s="93"/>
      <c r="CH242" s="93"/>
      <c r="CI242" s="93"/>
      <c r="CJ242" s="93"/>
      <c r="CK242" s="93"/>
      <c r="CL242" s="93"/>
      <c r="CM242" s="93"/>
      <c r="CN242" s="93"/>
      <c r="CO242" s="93"/>
      <c r="CP242" s="93"/>
      <c r="CQ242" s="93"/>
      <c r="CR242" s="93"/>
      <c r="CS242" s="93"/>
      <c r="CT242" s="93"/>
      <c r="CU242" s="93"/>
      <c r="CV242" s="93"/>
      <c r="CW242" s="93"/>
      <c r="CX242" s="93"/>
      <c r="CY242" s="93"/>
      <c r="CZ242" s="93"/>
      <c r="DA242" s="93"/>
      <c r="DB242" s="93"/>
      <c r="DC242" s="93"/>
      <c r="DD242" s="93"/>
      <c r="DE242" s="93"/>
      <c r="DF242" s="93"/>
      <c r="DG242" s="93"/>
      <c r="DH242" s="93"/>
      <c r="DI242" s="93"/>
      <c r="DJ242" s="93"/>
      <c r="DK242" s="93"/>
      <c r="DL242" s="93"/>
      <c r="DM242" s="93"/>
      <c r="DN242" s="93"/>
      <c r="DO242" s="93"/>
      <c r="DP242" s="93"/>
      <c r="DQ242" s="93"/>
      <c r="DR242" s="93"/>
      <c r="DS242" s="93"/>
      <c r="DT242" s="93"/>
      <c r="DU242" s="93"/>
      <c r="DV242" s="93"/>
      <c r="DW242" s="93"/>
      <c r="DX242" s="93"/>
      <c r="DY242" s="93"/>
      <c r="DZ242" s="93"/>
      <c r="EA242" s="93"/>
      <c r="EB242" s="93"/>
      <c r="EC242" s="93"/>
      <c r="ED242" s="93"/>
      <c r="EE242" s="93"/>
      <c r="EF242" s="93"/>
      <c r="EG242" s="93"/>
      <c r="EH242" s="93"/>
      <c r="EI242" s="93"/>
      <c r="EJ242" s="93"/>
      <c r="EK242" s="93"/>
      <c r="EL242" s="93"/>
      <c r="EM242" s="93"/>
      <c r="EN242" s="93"/>
      <c r="EO242" s="93"/>
      <c r="EP242" s="93"/>
      <c r="EQ242" s="93"/>
      <c r="ER242" s="93"/>
      <c r="ES242" s="93"/>
      <c r="ET242" s="93"/>
      <c r="EU242" s="93"/>
      <c r="EV242" s="93"/>
      <c r="EW242" s="93"/>
      <c r="EX242" s="93"/>
      <c r="EY242" s="93"/>
      <c r="EZ242" s="93"/>
      <c r="FA242" s="93"/>
      <c r="FB242" s="93"/>
      <c r="FC242" s="93"/>
      <c r="FD242" s="93"/>
      <c r="FE242" s="93"/>
      <c r="FF242" s="93"/>
      <c r="FG242" s="93"/>
      <c r="FH242" s="93"/>
      <c r="FI242" s="93"/>
      <c r="FJ242" s="93"/>
      <c r="FK242" s="93"/>
      <c r="FL242" s="93"/>
      <c r="FM242" s="93"/>
      <c r="FN242" s="93"/>
      <c r="FO242" s="93"/>
      <c r="FP242" s="93"/>
      <c r="FQ242" s="93"/>
      <c r="FR242" s="93"/>
      <c r="FS242" s="93"/>
      <c r="FT242" s="93"/>
      <c r="FU242" s="93"/>
      <c r="FV242" s="93"/>
      <c r="FW242" s="93"/>
      <c r="FX242" s="93"/>
      <c r="FY242" s="93"/>
      <c r="FZ242" s="93"/>
      <c r="GA242" s="93"/>
      <c r="GB242" s="93"/>
      <c r="GC242" s="93"/>
      <c r="GD242" s="93"/>
      <c r="GE242" s="93"/>
      <c r="GF242" s="93"/>
      <c r="GG242" s="93"/>
      <c r="GH242" s="93"/>
      <c r="GI242" s="93"/>
      <c r="GJ242" s="93"/>
      <c r="GK242" s="93"/>
      <c r="GL242" s="93"/>
      <c r="GM242" s="93"/>
      <c r="GN242" s="93"/>
      <c r="GO242" s="93"/>
      <c r="GP242" s="93"/>
      <c r="GQ242" s="93"/>
      <c r="GR242" s="93"/>
      <c r="GS242" s="93"/>
      <c r="GT242" s="93"/>
      <c r="GU242" s="93"/>
      <c r="GV242" s="93"/>
      <c r="GW242" s="93"/>
      <c r="GX242" s="93"/>
      <c r="GY242" s="93"/>
      <c r="GZ242" s="93"/>
      <c r="HA242" s="93"/>
      <c r="HB242" s="93"/>
      <c r="HC242" s="93"/>
      <c r="HD242" s="93"/>
      <c r="HE242" s="93"/>
      <c r="HF242" s="93"/>
      <c r="HG242" s="93"/>
      <c r="HH242" s="93"/>
      <c r="HI242" s="93"/>
      <c r="HJ242" s="93"/>
      <c r="HK242" s="93"/>
      <c r="HL242" s="93"/>
      <c r="HM242" s="93"/>
      <c r="HN242" s="93"/>
      <c r="HO242" s="93"/>
      <c r="HP242" s="93"/>
      <c r="HQ242" s="93"/>
      <c r="HR242" s="93"/>
      <c r="HS242" s="93"/>
      <c r="HT242" s="93"/>
      <c r="HU242" s="93"/>
      <c r="HV242" s="93"/>
      <c r="HW242" s="93"/>
      <c r="HX242" s="93"/>
      <c r="HY242" s="93"/>
      <c r="HZ242" s="93"/>
      <c r="IA242" s="93"/>
      <c r="IB242" s="93"/>
      <c r="IC242" s="93"/>
      <c r="ID242" s="93"/>
      <c r="IE242" s="93"/>
      <c r="IF242" s="93"/>
      <c r="IG242" s="93"/>
      <c r="IH242" s="93"/>
      <c r="II242" s="93"/>
      <c r="IJ242" s="93"/>
      <c r="IK242" s="93"/>
      <c r="IL242" s="93"/>
      <c r="IM242" s="93"/>
      <c r="IN242" s="93"/>
      <c r="IO242" s="93"/>
      <c r="IP242" s="93"/>
      <c r="IQ242" s="93"/>
      <c r="IR242" s="93"/>
      <c r="IS242" s="93"/>
      <c r="IT242" s="93"/>
      <c r="IU242" s="93"/>
      <c r="IV242" s="93"/>
    </row>
    <row r="243" s="6" customFormat="1" spans="1:256">
      <c r="A243" s="24">
        <f t="shared" si="37"/>
        <v>241</v>
      </c>
      <c r="B243" s="25" t="s">
        <v>653</v>
      </c>
      <c r="C243" s="61" t="s">
        <v>654</v>
      </c>
      <c r="D243" s="25" t="s">
        <v>655</v>
      </c>
      <c r="E243" s="25" t="str">
        <f t="shared" si="36"/>
        <v>男</v>
      </c>
      <c r="F243" s="24">
        <v>67</v>
      </c>
      <c r="G243" s="26">
        <v>17563711288</v>
      </c>
      <c r="H243" s="27">
        <v>45311</v>
      </c>
      <c r="I243" s="27"/>
      <c r="J243" s="25" t="s">
        <v>377</v>
      </c>
      <c r="K243" s="25" t="s">
        <v>378</v>
      </c>
      <c r="L243" s="47" t="str">
        <f ca="1" t="shared" si="38"/>
        <v>2年2个月</v>
      </c>
      <c r="M243" s="25" t="s">
        <v>154</v>
      </c>
      <c r="N243" s="24"/>
      <c r="O243" s="52" t="s">
        <v>303</v>
      </c>
      <c r="P243" s="29" t="s">
        <v>101</v>
      </c>
      <c r="Q243" s="46" t="s">
        <v>111</v>
      </c>
      <c r="S243" s="42"/>
      <c r="T243" s="42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  <c r="DQ243" s="9"/>
      <c r="DR243" s="9"/>
      <c r="DS243" s="9"/>
      <c r="DT243" s="9"/>
      <c r="DU243" s="9"/>
      <c r="DV243" s="9"/>
      <c r="DW243" s="9"/>
      <c r="DX243" s="9"/>
      <c r="DY243" s="9"/>
      <c r="DZ243" s="9"/>
      <c r="EA243" s="9"/>
      <c r="EB243" s="9"/>
      <c r="EC243" s="9"/>
      <c r="ED243" s="9"/>
      <c r="EE243" s="9"/>
      <c r="EF243" s="9"/>
      <c r="EG243" s="9"/>
      <c r="EH243" s="9"/>
      <c r="EI243" s="9"/>
      <c r="EJ243" s="9"/>
      <c r="EK243" s="9"/>
      <c r="EL243" s="9"/>
      <c r="EM243" s="9"/>
      <c r="EN243" s="9"/>
      <c r="EO243" s="9"/>
      <c r="EP243" s="9"/>
      <c r="EQ243" s="9"/>
      <c r="ER243" s="9"/>
      <c r="ES243" s="9"/>
      <c r="ET243" s="9"/>
      <c r="EU243" s="9"/>
      <c r="EV243" s="9"/>
      <c r="EW243" s="9"/>
      <c r="EX243" s="9"/>
      <c r="EY243" s="9"/>
      <c r="EZ243" s="9"/>
      <c r="FA243" s="9"/>
      <c r="FB243" s="9"/>
      <c r="FC243" s="9"/>
      <c r="FD243" s="9"/>
      <c r="FE243" s="9"/>
      <c r="FF243" s="9"/>
      <c r="FG243" s="9"/>
      <c r="FH243" s="9"/>
      <c r="FI243" s="9"/>
      <c r="FJ243" s="9"/>
      <c r="FK243" s="9"/>
      <c r="FL243" s="9"/>
      <c r="FM243" s="9"/>
      <c r="FN243" s="9"/>
      <c r="FO243" s="9"/>
      <c r="FP243" s="9"/>
      <c r="FQ243" s="9"/>
      <c r="FR243" s="9"/>
      <c r="FS243" s="9"/>
      <c r="FT243" s="9"/>
      <c r="FU243" s="9"/>
      <c r="FV243" s="9"/>
      <c r="FW243" s="9"/>
      <c r="FX243" s="9"/>
      <c r="FY243" s="9"/>
      <c r="FZ243" s="9"/>
      <c r="GA243" s="9"/>
      <c r="GB243" s="9"/>
      <c r="GC243" s="9"/>
      <c r="GD243" s="9"/>
      <c r="GE243" s="9"/>
      <c r="GF243" s="9"/>
      <c r="GG243" s="9"/>
      <c r="GH243" s="9"/>
      <c r="GI243" s="9"/>
      <c r="GJ243" s="9"/>
      <c r="GK243" s="9"/>
      <c r="GL243" s="9"/>
      <c r="GM243" s="9"/>
      <c r="GN243" s="9"/>
      <c r="GO243" s="9"/>
      <c r="GP243" s="9"/>
      <c r="GQ243" s="9"/>
      <c r="GR243" s="9"/>
      <c r="GS243" s="9"/>
      <c r="GT243" s="9"/>
      <c r="GU243" s="9"/>
      <c r="GV243" s="9"/>
      <c r="GW243" s="9"/>
      <c r="GX243" s="9"/>
      <c r="GY243" s="9"/>
      <c r="GZ243" s="9"/>
      <c r="HA243" s="9"/>
      <c r="HB243" s="9"/>
      <c r="HC243" s="9"/>
      <c r="HD243" s="9"/>
      <c r="HE243" s="9"/>
      <c r="HF243" s="9"/>
      <c r="HG243" s="9"/>
      <c r="HH243" s="9"/>
      <c r="HI243" s="9"/>
      <c r="HJ243" s="9"/>
      <c r="HK243" s="9"/>
      <c r="HL243" s="9"/>
      <c r="HM243" s="9"/>
      <c r="HN243" s="9"/>
      <c r="HO243" s="9"/>
      <c r="HP243" s="9"/>
      <c r="HQ243" s="9"/>
      <c r="HR243" s="9"/>
      <c r="HS243" s="9"/>
      <c r="HT243" s="9"/>
      <c r="HU243" s="9"/>
      <c r="HV243" s="9"/>
      <c r="HW243" s="9"/>
      <c r="HX243" s="9"/>
      <c r="HY243" s="9"/>
      <c r="HZ243" s="9"/>
      <c r="IA243" s="9"/>
      <c r="IB243" s="9"/>
      <c r="IC243" s="9"/>
      <c r="ID243" s="9"/>
      <c r="IE243" s="9"/>
      <c r="IF243" s="9"/>
      <c r="IG243" s="9"/>
      <c r="IH243" s="9"/>
      <c r="II243" s="9"/>
      <c r="IJ243" s="9"/>
      <c r="IK243" s="9"/>
      <c r="IL243" s="9"/>
      <c r="IM243" s="9"/>
      <c r="IN243" s="9"/>
      <c r="IO243" s="9"/>
      <c r="IP243" s="9"/>
      <c r="IQ243" s="9"/>
      <c r="IR243" s="9"/>
      <c r="IS243" s="9"/>
      <c r="IT243" s="9"/>
      <c r="IU243" s="9"/>
    </row>
    <row r="244" s="6" customFormat="1" spans="1:256">
      <c r="A244" s="24">
        <f t="shared" si="37"/>
        <v>242</v>
      </c>
      <c r="B244" s="25" t="s">
        <v>97</v>
      </c>
      <c r="C244" s="61" t="s">
        <v>656</v>
      </c>
      <c r="D244" s="25" t="s">
        <v>657</v>
      </c>
      <c r="E244" s="25" t="str">
        <f t="shared" si="36"/>
        <v>女</v>
      </c>
      <c r="F244" s="24">
        <v>63</v>
      </c>
      <c r="G244" s="94"/>
      <c r="H244" s="27">
        <v>45311</v>
      </c>
      <c r="I244" s="27"/>
      <c r="J244" s="25" t="s">
        <v>377</v>
      </c>
      <c r="K244" s="25" t="s">
        <v>378</v>
      </c>
      <c r="L244" s="47" t="str">
        <f ca="1" t="shared" si="38"/>
        <v>2年2个月</v>
      </c>
      <c r="M244" s="25" t="s">
        <v>154</v>
      </c>
      <c r="N244" s="24"/>
      <c r="O244" s="52" t="s">
        <v>303</v>
      </c>
      <c r="P244" s="29" t="s">
        <v>101</v>
      </c>
      <c r="Q244" s="46" t="s">
        <v>111</v>
      </c>
      <c r="S244" s="42"/>
      <c r="T244" s="42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  <c r="DQ244" s="9"/>
      <c r="DR244" s="9"/>
      <c r="DS244" s="9"/>
      <c r="DT244" s="9"/>
      <c r="DU244" s="9"/>
      <c r="DV244" s="9"/>
      <c r="DW244" s="9"/>
      <c r="DX244" s="9"/>
      <c r="DY244" s="9"/>
      <c r="DZ244" s="9"/>
      <c r="EA244" s="9"/>
      <c r="EB244" s="9"/>
      <c r="EC244" s="9"/>
      <c r="ED244" s="9"/>
      <c r="EE244" s="9"/>
      <c r="EF244" s="9"/>
      <c r="EG244" s="9"/>
      <c r="EH244" s="9"/>
      <c r="EI244" s="9"/>
      <c r="EJ244" s="9"/>
      <c r="EK244" s="9"/>
      <c r="EL244" s="9"/>
      <c r="EM244" s="9"/>
      <c r="EN244" s="9"/>
      <c r="EO244" s="9"/>
      <c r="EP244" s="9"/>
      <c r="EQ244" s="9"/>
      <c r="ER244" s="9"/>
      <c r="ES244" s="9"/>
      <c r="ET244" s="9"/>
      <c r="EU244" s="9"/>
      <c r="EV244" s="9"/>
      <c r="EW244" s="9"/>
      <c r="EX244" s="9"/>
      <c r="EY244" s="9"/>
      <c r="EZ244" s="9"/>
      <c r="FA244" s="9"/>
      <c r="FB244" s="9"/>
      <c r="FC244" s="9"/>
      <c r="FD244" s="9"/>
      <c r="FE244" s="9"/>
      <c r="FF244" s="9"/>
      <c r="FG244" s="9"/>
      <c r="FH244" s="9"/>
      <c r="FI244" s="9"/>
      <c r="FJ244" s="9"/>
      <c r="FK244" s="9"/>
      <c r="FL244" s="9"/>
      <c r="FM244" s="9"/>
      <c r="FN244" s="9"/>
      <c r="FO244" s="9"/>
      <c r="FP244" s="9"/>
      <c r="FQ244" s="9"/>
      <c r="FR244" s="9"/>
      <c r="FS244" s="9"/>
      <c r="FT244" s="9"/>
      <c r="FU244" s="9"/>
      <c r="FV244" s="9"/>
      <c r="FW244" s="9"/>
      <c r="FX244" s="9"/>
      <c r="FY244" s="9"/>
      <c r="FZ244" s="9"/>
      <c r="GA244" s="9"/>
      <c r="GB244" s="9"/>
      <c r="GC244" s="9"/>
      <c r="GD244" s="9"/>
      <c r="GE244" s="9"/>
      <c r="GF244" s="9"/>
      <c r="GG244" s="9"/>
      <c r="GH244" s="9"/>
      <c r="GI244" s="9"/>
      <c r="GJ244" s="9"/>
      <c r="GK244" s="9"/>
      <c r="GL244" s="9"/>
      <c r="GM244" s="9"/>
      <c r="GN244" s="9"/>
      <c r="GO244" s="9"/>
      <c r="GP244" s="9"/>
      <c r="GQ244" s="9"/>
      <c r="GR244" s="9"/>
      <c r="GS244" s="9"/>
      <c r="GT244" s="9"/>
      <c r="GU244" s="9"/>
      <c r="GV244" s="9"/>
      <c r="GW244" s="9"/>
      <c r="GX244" s="9"/>
      <c r="GY244" s="9"/>
      <c r="GZ244" s="9"/>
      <c r="HA244" s="9"/>
      <c r="HB244" s="9"/>
      <c r="HC244" s="9"/>
      <c r="HD244" s="9"/>
      <c r="HE244" s="9"/>
      <c r="HF244" s="9"/>
      <c r="HG244" s="9"/>
      <c r="HH244" s="9"/>
      <c r="HI244" s="9"/>
      <c r="HJ244" s="9"/>
      <c r="HK244" s="9"/>
      <c r="HL244" s="9"/>
      <c r="HM244" s="9"/>
      <c r="HN244" s="9"/>
      <c r="HO244" s="9"/>
      <c r="HP244" s="9"/>
      <c r="HQ244" s="9"/>
      <c r="HR244" s="9"/>
      <c r="HS244" s="9"/>
      <c r="HT244" s="9"/>
      <c r="HU244" s="9"/>
      <c r="HV244" s="9"/>
      <c r="HW244" s="9"/>
      <c r="HX244" s="9"/>
      <c r="HY244" s="9"/>
      <c r="HZ244" s="9"/>
      <c r="IA244" s="9"/>
      <c r="IB244" s="9"/>
      <c r="IC244" s="9"/>
      <c r="ID244" s="9"/>
      <c r="IE244" s="9"/>
      <c r="IF244" s="9"/>
      <c r="IG244" s="9"/>
      <c r="IH244" s="9"/>
      <c r="II244" s="9"/>
      <c r="IJ244" s="9"/>
      <c r="IK244" s="9"/>
      <c r="IL244" s="9"/>
      <c r="IM244" s="9"/>
      <c r="IN244" s="9"/>
      <c r="IO244" s="9"/>
      <c r="IP244" s="9"/>
      <c r="IQ244" s="9"/>
      <c r="IR244" s="9"/>
      <c r="IS244" s="9"/>
      <c r="IT244" s="9"/>
    </row>
    <row r="245" s="6" customFormat="1" ht="15" customHeight="1" spans="1:256">
      <c r="A245" s="24">
        <f t="shared" si="37"/>
        <v>243</v>
      </c>
      <c r="B245" s="48" t="s">
        <v>658</v>
      </c>
      <c r="C245" s="64" t="s">
        <v>659</v>
      </c>
      <c r="D245" s="223" t="s">
        <v>660</v>
      </c>
      <c r="E245" s="64" t="s">
        <v>152</v>
      </c>
      <c r="F245" s="64">
        <v>43</v>
      </c>
      <c r="G245" s="64">
        <v>18451325416</v>
      </c>
      <c r="H245" s="90">
        <v>45420</v>
      </c>
      <c r="I245" s="60"/>
      <c r="J245" s="48" t="s">
        <v>22</v>
      </c>
      <c r="K245" s="48" t="s">
        <v>661</v>
      </c>
      <c r="L245" s="25" t="str">
        <f ca="1" t="shared" si="38"/>
        <v>1年11个月</v>
      </c>
      <c r="N245" s="60"/>
      <c r="O245" s="48"/>
      <c r="P245" s="48" t="s">
        <v>303</v>
      </c>
      <c r="Q245" s="30" t="s">
        <v>358</v>
      </c>
      <c r="R245" s="46" t="s">
        <v>111</v>
      </c>
      <c r="S245" s="48"/>
      <c r="T245" s="42" t="s">
        <v>111</v>
      </c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/>
      <c r="DU245" s="9"/>
      <c r="DV245" s="9"/>
      <c r="DW245" s="9"/>
      <c r="DX245" s="9"/>
      <c r="DY245" s="9"/>
      <c r="DZ245" s="9"/>
      <c r="EA245" s="9"/>
      <c r="EB245" s="9"/>
      <c r="EC245" s="9"/>
      <c r="ED245" s="9"/>
      <c r="EE245" s="9"/>
      <c r="EF245" s="9"/>
      <c r="EG245" s="9"/>
      <c r="EH245" s="9"/>
      <c r="EI245" s="9"/>
      <c r="EJ245" s="9"/>
      <c r="EK245" s="9"/>
      <c r="EL245" s="9"/>
      <c r="EM245" s="9"/>
      <c r="EN245" s="9"/>
      <c r="EO245" s="9"/>
      <c r="EP245" s="9"/>
      <c r="EQ245" s="9"/>
      <c r="ER245" s="9"/>
      <c r="ES245" s="9"/>
      <c r="ET245" s="9"/>
      <c r="EU245" s="9"/>
      <c r="EV245" s="9"/>
      <c r="EW245" s="9"/>
      <c r="EX245" s="9"/>
      <c r="EY245" s="9"/>
      <c r="EZ245" s="9"/>
      <c r="FA245" s="9"/>
      <c r="FB245" s="9"/>
      <c r="FC245" s="9"/>
      <c r="FD245" s="9"/>
      <c r="FE245" s="9"/>
      <c r="FF245" s="9"/>
      <c r="FG245" s="9"/>
      <c r="FH245" s="9"/>
      <c r="FI245" s="9"/>
      <c r="FJ245" s="9"/>
      <c r="FK245" s="9"/>
      <c r="FL245" s="9"/>
      <c r="FM245" s="9"/>
      <c r="FN245" s="9"/>
      <c r="FO245" s="9"/>
      <c r="FP245" s="9"/>
      <c r="FQ245" s="9"/>
      <c r="FR245" s="9"/>
      <c r="FS245" s="9"/>
      <c r="FT245" s="9"/>
      <c r="FU245" s="9"/>
      <c r="FV245" s="9"/>
      <c r="FW245" s="9"/>
      <c r="FX245" s="9"/>
      <c r="FY245" s="9"/>
      <c r="FZ245" s="9"/>
      <c r="GA245" s="9"/>
      <c r="GB245" s="9"/>
      <c r="GC245" s="9"/>
      <c r="GD245" s="9"/>
      <c r="GE245" s="9"/>
      <c r="GF245" s="9"/>
      <c r="GG245" s="9"/>
      <c r="GH245" s="9"/>
      <c r="GI245" s="9"/>
      <c r="GJ245" s="9"/>
      <c r="GK245" s="9"/>
      <c r="GL245" s="9"/>
      <c r="GM245" s="9"/>
      <c r="GN245" s="9"/>
      <c r="GO245" s="9"/>
      <c r="GP245" s="9"/>
      <c r="GQ245" s="9"/>
      <c r="GR245" s="9"/>
      <c r="GS245" s="9"/>
      <c r="GT245" s="9"/>
      <c r="GU245" s="9"/>
      <c r="GV245" s="9"/>
      <c r="GW245" s="9"/>
      <c r="GX245" s="9"/>
      <c r="GY245" s="9"/>
      <c r="GZ245" s="9"/>
      <c r="HA245" s="9"/>
      <c r="HB245" s="9"/>
      <c r="HC245" s="9"/>
      <c r="HD245" s="9"/>
      <c r="HE245" s="9"/>
      <c r="HF245" s="9"/>
      <c r="HG245" s="9"/>
      <c r="HH245" s="9"/>
      <c r="HI245" s="9"/>
      <c r="HJ245" s="9"/>
      <c r="HK245" s="9"/>
      <c r="HL245" s="9"/>
      <c r="HM245" s="9"/>
      <c r="HN245" s="9"/>
      <c r="HO245" s="9"/>
      <c r="HP245" s="9"/>
      <c r="HQ245" s="9"/>
      <c r="HR245" s="9"/>
      <c r="HS245" s="9"/>
      <c r="HT245" s="9"/>
      <c r="HU245" s="9"/>
      <c r="HV245" s="9"/>
      <c r="HW245" s="9"/>
      <c r="HX245" s="9"/>
      <c r="HY245" s="9"/>
      <c r="HZ245" s="9"/>
      <c r="IA245" s="9"/>
      <c r="IB245" s="9"/>
      <c r="IC245" s="9"/>
      <c r="ID245" s="9"/>
      <c r="IE245" s="9"/>
      <c r="IF245" s="9"/>
      <c r="IG245" s="9"/>
      <c r="IH245" s="9"/>
      <c r="II245" s="9"/>
      <c r="IJ245" s="9"/>
      <c r="IK245" s="9"/>
      <c r="IL245" s="9"/>
      <c r="IM245" s="9"/>
      <c r="IN245" s="9"/>
      <c r="IO245" s="9"/>
      <c r="IP245" s="9"/>
      <c r="IQ245" s="9"/>
      <c r="IR245" s="9"/>
      <c r="IS245" s="9"/>
      <c r="IT245" s="9"/>
      <c r="IU245" s="9"/>
      <c r="IV245" s="9"/>
    </row>
    <row r="246" s="6" customFormat="1" ht="15" customHeight="1" spans="1:256">
      <c r="A246" s="24">
        <f t="shared" si="37"/>
        <v>244</v>
      </c>
      <c r="B246" s="48" t="s">
        <v>190</v>
      </c>
      <c r="C246" s="18" t="s">
        <v>662</v>
      </c>
      <c r="D246" s="213" t="s">
        <v>663</v>
      </c>
      <c r="E246" s="18" t="s">
        <v>152</v>
      </c>
      <c r="F246" s="18">
        <v>43</v>
      </c>
      <c r="G246" s="18">
        <v>19850921308</v>
      </c>
      <c r="H246" s="66">
        <v>45509</v>
      </c>
      <c r="I246" s="18"/>
      <c r="J246" s="18" t="s">
        <v>22</v>
      </c>
      <c r="K246" s="18" t="s">
        <v>322</v>
      </c>
      <c r="L246" s="95"/>
      <c r="N246" s="96"/>
      <c r="O246" s="97"/>
      <c r="P246" s="98" t="s">
        <v>303</v>
      </c>
      <c r="Q246" s="48"/>
      <c r="R246" s="48"/>
      <c r="S246" s="48"/>
      <c r="T246" s="48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M246" s="9"/>
      <c r="DN246" s="9"/>
      <c r="DO246" s="9"/>
      <c r="DP246" s="9"/>
      <c r="DQ246" s="9"/>
      <c r="DR246" s="9"/>
      <c r="DS246" s="9"/>
      <c r="DT246" s="9"/>
      <c r="DU246" s="9"/>
      <c r="DV246" s="9"/>
      <c r="DW246" s="9"/>
      <c r="DX246" s="9"/>
      <c r="DY246" s="9"/>
      <c r="DZ246" s="9"/>
      <c r="EA246" s="9"/>
      <c r="EB246" s="9"/>
      <c r="EC246" s="9"/>
      <c r="ED246" s="9"/>
      <c r="EE246" s="9"/>
      <c r="EF246" s="9"/>
      <c r="EG246" s="9"/>
      <c r="EH246" s="9"/>
      <c r="EI246" s="9"/>
      <c r="EJ246" s="9"/>
      <c r="EK246" s="9"/>
      <c r="EL246" s="9"/>
      <c r="EM246" s="9"/>
      <c r="EN246" s="9"/>
      <c r="EO246" s="9"/>
      <c r="EP246" s="9"/>
      <c r="EQ246" s="9"/>
      <c r="ER246" s="9"/>
      <c r="ES246" s="9"/>
      <c r="ET246" s="9"/>
      <c r="EU246" s="9"/>
      <c r="EV246" s="9"/>
      <c r="EW246" s="9"/>
      <c r="EX246" s="9"/>
      <c r="EY246" s="9"/>
      <c r="EZ246" s="9"/>
      <c r="FA246" s="9"/>
      <c r="FB246" s="9"/>
      <c r="FC246" s="9"/>
      <c r="FD246" s="9"/>
      <c r="FE246" s="9"/>
      <c r="FF246" s="9"/>
      <c r="FG246" s="9"/>
      <c r="FH246" s="9"/>
      <c r="FI246" s="9"/>
      <c r="FJ246" s="9"/>
      <c r="FK246" s="9"/>
      <c r="FL246" s="9"/>
      <c r="FM246" s="9"/>
      <c r="FN246" s="9"/>
      <c r="FO246" s="9"/>
      <c r="FP246" s="9"/>
      <c r="FQ246" s="9"/>
      <c r="FR246" s="9"/>
      <c r="FS246" s="9"/>
      <c r="FT246" s="9"/>
      <c r="FU246" s="9"/>
      <c r="FV246" s="9"/>
      <c r="FW246" s="9"/>
      <c r="FX246" s="9"/>
      <c r="FY246" s="9"/>
      <c r="FZ246" s="9"/>
      <c r="GA246" s="9"/>
      <c r="GB246" s="9"/>
      <c r="GC246" s="9"/>
      <c r="GD246" s="9"/>
      <c r="GE246" s="9"/>
      <c r="GF246" s="9"/>
      <c r="GG246" s="9"/>
      <c r="GH246" s="9"/>
      <c r="GI246" s="9"/>
      <c r="GJ246" s="9"/>
      <c r="GK246" s="9"/>
      <c r="GL246" s="9"/>
      <c r="GM246" s="9"/>
      <c r="GN246" s="9"/>
      <c r="GO246" s="9"/>
      <c r="GP246" s="9"/>
      <c r="GQ246" s="9"/>
      <c r="GR246" s="9"/>
      <c r="GS246" s="9"/>
      <c r="GT246" s="9"/>
      <c r="GU246" s="9"/>
      <c r="GV246" s="9"/>
      <c r="GW246" s="9"/>
      <c r="GX246" s="9"/>
      <c r="GY246" s="9"/>
      <c r="GZ246" s="9"/>
      <c r="HA246" s="9"/>
      <c r="HB246" s="9"/>
      <c r="HC246" s="9"/>
      <c r="HD246" s="9"/>
      <c r="HE246" s="9"/>
      <c r="HF246" s="9"/>
      <c r="HG246" s="9"/>
      <c r="HH246" s="9"/>
      <c r="HI246" s="9"/>
      <c r="HJ246" s="9"/>
      <c r="HK246" s="9"/>
      <c r="HL246" s="9"/>
      <c r="HM246" s="9"/>
      <c r="HN246" s="9"/>
      <c r="HO246" s="9"/>
      <c r="HP246" s="9"/>
      <c r="HQ246" s="9"/>
      <c r="HR246" s="9"/>
      <c r="HS246" s="9"/>
      <c r="HT246" s="9"/>
      <c r="HU246" s="9"/>
      <c r="HV246" s="9"/>
      <c r="HW246" s="9"/>
      <c r="HX246" s="9"/>
      <c r="HY246" s="9"/>
      <c r="HZ246" s="9"/>
      <c r="IA246" s="9"/>
      <c r="IB246" s="9"/>
      <c r="IC246" s="9"/>
      <c r="ID246" s="9"/>
      <c r="IE246" s="9"/>
      <c r="IF246" s="9"/>
      <c r="IG246" s="9"/>
      <c r="IH246" s="9"/>
      <c r="II246" s="9"/>
      <c r="IJ246" s="9"/>
      <c r="IK246" s="9"/>
      <c r="IL246" s="9"/>
      <c r="IM246" s="9"/>
      <c r="IN246" s="9"/>
      <c r="IO246" s="9"/>
      <c r="IP246" s="9"/>
      <c r="IQ246" s="9"/>
      <c r="IR246" s="9"/>
      <c r="IS246" s="9"/>
      <c r="IT246" s="9"/>
      <c r="IU246" s="9"/>
      <c r="IV246" s="9"/>
    </row>
    <row r="247" spans="1:256">
      <c r="A247" s="99">
        <v>106</v>
      </c>
      <c r="B247" s="25" t="s">
        <v>211</v>
      </c>
      <c r="C247" s="25" t="s">
        <v>664</v>
      </c>
      <c r="D247" s="205" t="s">
        <v>665</v>
      </c>
      <c r="E247" s="25" t="s">
        <v>158</v>
      </c>
      <c r="F247" s="31">
        <v>43</v>
      </c>
      <c r="G247" s="31">
        <v>18261299157</v>
      </c>
      <c r="H247" s="100">
        <v>45541</v>
      </c>
      <c r="I247" s="31"/>
      <c r="J247" s="25" t="s">
        <v>22</v>
      </c>
      <c r="K247" s="25" t="s">
        <v>285</v>
      </c>
    </row>
    <row r="248" spans="1:256">
      <c r="C248" s="24" t="s">
        <v>666</v>
      </c>
      <c r="D248" s="209" t="s">
        <v>667</v>
      </c>
      <c r="E248" s="24" t="s">
        <v>152</v>
      </c>
      <c r="F248" s="24">
        <v>23</v>
      </c>
      <c r="G248" s="24">
        <v>18761294814</v>
      </c>
      <c r="H248" s="37">
        <v>45537</v>
      </c>
      <c r="I248" s="24"/>
      <c r="J248" s="24" t="s">
        <v>22</v>
      </c>
      <c r="K248" s="24" t="s">
        <v>340</v>
      </c>
      <c r="M248" s="101"/>
      <c r="N248" s="8"/>
      <c r="O248" s="8"/>
      <c r="P248" s="98" t="s">
        <v>303</v>
      </c>
    </row>
    <row r="249" spans="1:256">
      <c r="B249" s="25" t="s">
        <v>668</v>
      </c>
      <c r="C249" s="25" t="s">
        <v>669</v>
      </c>
      <c r="D249" s="205" t="s">
        <v>670</v>
      </c>
      <c r="E249" s="25" t="s">
        <v>158</v>
      </c>
      <c r="F249" s="31">
        <v>43</v>
      </c>
      <c r="G249" s="31">
        <v>13813225165</v>
      </c>
      <c r="H249" s="100">
        <v>45547</v>
      </c>
      <c r="I249" s="31"/>
      <c r="J249" s="25" t="s">
        <v>22</v>
      </c>
      <c r="K249" s="25" t="s">
        <v>671</v>
      </c>
    </row>
    <row r="250" s="5" customFormat="1" ht="15" customHeight="1" spans="1:256">
      <c r="A250" s="24">
        <f t="shared" ref="A250:A254" si="39">ROW()-2</f>
        <v>248</v>
      </c>
      <c r="B250" s="25" t="s">
        <v>672</v>
      </c>
      <c r="C250" s="25" t="s">
        <v>74</v>
      </c>
      <c r="D250" s="205" t="s">
        <v>673</v>
      </c>
      <c r="E250" s="25" t="str">
        <f>IF(MOD(MID(D250,17,1),2),"男","女")</f>
        <v>女</v>
      </c>
      <c r="F250" s="24">
        <f ca="1">YEAR(NOW())-MID(D250,7,4)</f>
        <v>30</v>
      </c>
      <c r="G250" s="28" t="s">
        <v>674</v>
      </c>
      <c r="H250" s="27">
        <v>44963</v>
      </c>
      <c r="I250" s="27">
        <v>45556</v>
      </c>
      <c r="J250" s="25" t="s">
        <v>22</v>
      </c>
      <c r="K250" s="25" t="s">
        <v>675</v>
      </c>
      <c r="L250" s="25" t="str">
        <f ca="1">DATEDIF(H250,TODAY(),"Y")&amp;"年"&amp;DATEDIF(H250,TODAY(),"YM")&amp;"个月"</f>
        <v>3年2个月</v>
      </c>
      <c r="M250" s="25" t="s">
        <v>676</v>
      </c>
      <c r="O250" s="24"/>
      <c r="P250" s="43"/>
      <c r="Q250" s="25" t="s">
        <v>249</v>
      </c>
      <c r="R250" s="41" t="s">
        <v>102</v>
      </c>
      <c r="S250" s="42" t="s">
        <v>397</v>
      </c>
      <c r="T250" s="42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  <c r="BX250" s="15"/>
      <c r="BY250" s="15"/>
      <c r="BZ250" s="15"/>
      <c r="CA250" s="15"/>
      <c r="CB250" s="15"/>
      <c r="CC250" s="15"/>
      <c r="CD250" s="15"/>
      <c r="CE250" s="15"/>
      <c r="CF250" s="15"/>
      <c r="CG250" s="15"/>
      <c r="CH250" s="15"/>
      <c r="CI250" s="15"/>
      <c r="CJ250" s="15"/>
      <c r="CK250" s="15"/>
      <c r="CL250" s="15"/>
      <c r="CM250" s="15"/>
      <c r="CN250" s="15"/>
      <c r="CO250" s="15"/>
      <c r="CP250" s="15"/>
      <c r="CQ250" s="15"/>
      <c r="CR250" s="15"/>
      <c r="CS250" s="15"/>
      <c r="CT250" s="15"/>
      <c r="CU250" s="15"/>
      <c r="CV250" s="15"/>
      <c r="CW250" s="15"/>
      <c r="CX250" s="15"/>
      <c r="CY250" s="15"/>
      <c r="CZ250" s="15"/>
      <c r="DA250" s="15"/>
      <c r="DB250" s="15"/>
      <c r="DC250" s="15"/>
      <c r="DD250" s="15"/>
      <c r="DE250" s="15"/>
      <c r="DF250" s="15"/>
      <c r="DG250" s="15"/>
      <c r="DH250" s="15"/>
      <c r="DI250" s="15"/>
      <c r="DJ250" s="15"/>
      <c r="DK250" s="15"/>
      <c r="DL250" s="15"/>
      <c r="DM250" s="15"/>
      <c r="DN250" s="15"/>
      <c r="DO250" s="15"/>
      <c r="DP250" s="15"/>
      <c r="DQ250" s="15"/>
      <c r="DR250" s="15"/>
      <c r="DS250" s="15"/>
      <c r="DT250" s="15"/>
      <c r="DU250" s="15"/>
      <c r="DV250" s="15"/>
      <c r="DW250" s="15"/>
      <c r="DX250" s="15"/>
      <c r="DY250" s="15"/>
      <c r="DZ250" s="15"/>
      <c r="EA250" s="15"/>
      <c r="EB250" s="15"/>
      <c r="EC250" s="15"/>
      <c r="ED250" s="15"/>
      <c r="EE250" s="15"/>
      <c r="EF250" s="15"/>
      <c r="EG250" s="15"/>
      <c r="EH250" s="15"/>
      <c r="EI250" s="15"/>
      <c r="EJ250" s="15"/>
      <c r="EK250" s="15"/>
      <c r="EL250" s="15"/>
      <c r="EM250" s="15"/>
      <c r="EN250" s="15"/>
      <c r="EO250" s="15"/>
      <c r="EP250" s="15"/>
      <c r="EQ250" s="15"/>
      <c r="ER250" s="15"/>
      <c r="ES250" s="15"/>
      <c r="ET250" s="15"/>
      <c r="EU250" s="15"/>
      <c r="EV250" s="15"/>
      <c r="EW250" s="15"/>
      <c r="EX250" s="15"/>
      <c r="EY250" s="15"/>
      <c r="EZ250" s="15"/>
      <c r="FA250" s="15"/>
      <c r="FB250" s="15"/>
      <c r="FC250" s="15"/>
      <c r="FD250" s="15"/>
      <c r="FE250" s="15"/>
      <c r="FF250" s="15"/>
      <c r="FG250" s="15"/>
      <c r="FH250" s="15"/>
      <c r="FI250" s="15"/>
      <c r="FJ250" s="15"/>
      <c r="FK250" s="15"/>
      <c r="FL250" s="15"/>
      <c r="FM250" s="15"/>
      <c r="FN250" s="15"/>
      <c r="FO250" s="15"/>
      <c r="FP250" s="15"/>
      <c r="FQ250" s="15"/>
      <c r="FR250" s="15"/>
      <c r="FS250" s="15"/>
      <c r="FT250" s="15"/>
      <c r="FU250" s="15"/>
      <c r="FV250" s="15"/>
      <c r="FW250" s="15"/>
      <c r="FX250" s="15"/>
      <c r="FY250" s="15"/>
      <c r="FZ250" s="15"/>
      <c r="GA250" s="15"/>
      <c r="GB250" s="15"/>
      <c r="GC250" s="15"/>
      <c r="GD250" s="15"/>
      <c r="GE250" s="15"/>
      <c r="GF250" s="15"/>
      <c r="GG250" s="15"/>
      <c r="GH250" s="15"/>
      <c r="GI250" s="15"/>
      <c r="GJ250" s="15"/>
      <c r="GK250" s="15"/>
      <c r="GL250" s="15"/>
      <c r="GM250" s="15"/>
      <c r="GN250" s="15"/>
      <c r="GO250" s="15"/>
      <c r="GP250" s="15"/>
      <c r="GQ250" s="15"/>
      <c r="GR250" s="15"/>
      <c r="GS250" s="15"/>
      <c r="GT250" s="15"/>
      <c r="GU250" s="15"/>
      <c r="GV250" s="15"/>
      <c r="GW250" s="15"/>
      <c r="GX250" s="15"/>
      <c r="GY250" s="15"/>
      <c r="GZ250" s="15"/>
      <c r="HA250" s="15"/>
      <c r="HB250" s="15"/>
      <c r="HC250" s="15"/>
      <c r="HD250" s="15"/>
      <c r="HE250" s="15"/>
      <c r="HF250" s="15"/>
      <c r="HG250" s="15"/>
      <c r="HH250" s="15"/>
      <c r="HI250" s="15"/>
      <c r="HJ250" s="15"/>
      <c r="HK250" s="15"/>
      <c r="HL250" s="15"/>
      <c r="HM250" s="15"/>
      <c r="HN250" s="15"/>
      <c r="HO250" s="15"/>
      <c r="HP250" s="15"/>
      <c r="HQ250" s="15"/>
      <c r="HR250" s="15"/>
      <c r="HS250" s="15"/>
      <c r="HT250" s="15"/>
      <c r="HU250" s="15"/>
      <c r="HV250" s="15"/>
      <c r="HW250" s="15"/>
      <c r="HX250" s="15"/>
      <c r="HY250" s="15"/>
      <c r="HZ250" s="15"/>
      <c r="IA250" s="15"/>
      <c r="IB250" s="15"/>
      <c r="IC250" s="15"/>
      <c r="ID250" s="15"/>
      <c r="IE250" s="15"/>
      <c r="IF250" s="15"/>
      <c r="IG250" s="15"/>
      <c r="IH250" s="15"/>
      <c r="II250" s="15"/>
      <c r="IJ250" s="15"/>
      <c r="IK250" s="15"/>
      <c r="IL250" s="15"/>
      <c r="IM250" s="15"/>
      <c r="IN250" s="15"/>
      <c r="IO250" s="15"/>
      <c r="IP250" s="15"/>
      <c r="IQ250" s="15"/>
      <c r="IR250" s="15"/>
      <c r="IS250" s="15"/>
      <c r="IT250" s="15"/>
      <c r="IU250" s="15"/>
      <c r="IV250" s="15"/>
    </row>
    <row r="251" s="5" customFormat="1" ht="15" customHeight="1" spans="1:256">
      <c r="A251" s="24">
        <f t="shared" si="39"/>
        <v>249</v>
      </c>
      <c r="B251" s="24" t="s">
        <v>288</v>
      </c>
      <c r="C251" s="25" t="s">
        <v>677</v>
      </c>
      <c r="D251" s="209" t="s">
        <v>678</v>
      </c>
      <c r="E251" s="24" t="s">
        <v>158</v>
      </c>
      <c r="F251" s="24">
        <v>45</v>
      </c>
      <c r="G251" s="24">
        <v>13223932567</v>
      </c>
      <c r="H251" s="37">
        <v>45352</v>
      </c>
      <c r="I251" s="33"/>
      <c r="J251" s="24" t="s">
        <v>22</v>
      </c>
      <c r="K251" s="1"/>
      <c r="L251" s="33"/>
      <c r="M251" s="47" t="str">
        <f ca="1">DATEDIF(H251,TODAY(),"Y")&amp;"年"&amp;DATEDIF(H251,TODAY(),"YM")&amp;"个月"</f>
        <v>2年1个月</v>
      </c>
      <c r="N251" s="62" t="s">
        <v>154</v>
      </c>
      <c r="O251" s="60"/>
      <c r="P251" s="60"/>
      <c r="Q251" s="48"/>
      <c r="R251" s="46" t="s">
        <v>111</v>
      </c>
      <c r="S251" s="48" t="s">
        <v>397</v>
      </c>
      <c r="T251" s="42" t="s">
        <v>111</v>
      </c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/>
      <c r="BY251" s="15"/>
      <c r="BZ251" s="15"/>
      <c r="CA251" s="15"/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  <c r="DC251" s="15"/>
      <c r="DD251" s="15"/>
      <c r="DE251" s="15"/>
      <c r="DF251" s="15"/>
      <c r="DG251" s="15"/>
      <c r="DH251" s="15"/>
      <c r="DI251" s="15"/>
      <c r="DJ251" s="15"/>
      <c r="DK251" s="15"/>
      <c r="DL251" s="15"/>
      <c r="DM251" s="15"/>
      <c r="DN251" s="15"/>
      <c r="DO251" s="15"/>
      <c r="DP251" s="15"/>
      <c r="DQ251" s="15"/>
      <c r="DR251" s="15"/>
      <c r="DS251" s="15"/>
      <c r="DT251" s="15"/>
      <c r="DU251" s="15"/>
      <c r="DV251" s="15"/>
      <c r="DW251" s="15"/>
      <c r="DX251" s="15"/>
      <c r="DY251" s="15"/>
      <c r="DZ251" s="15"/>
      <c r="EA251" s="15"/>
      <c r="EB251" s="15"/>
      <c r="EC251" s="15"/>
      <c r="ED251" s="15"/>
      <c r="EE251" s="15"/>
      <c r="EF251" s="15"/>
      <c r="EG251" s="15"/>
      <c r="EH251" s="15"/>
      <c r="EI251" s="15"/>
      <c r="EJ251" s="15"/>
      <c r="EK251" s="15"/>
      <c r="EL251" s="15"/>
      <c r="EM251" s="15"/>
      <c r="EN251" s="15"/>
      <c r="EO251" s="15"/>
      <c r="EP251" s="15"/>
      <c r="EQ251" s="15"/>
      <c r="ER251" s="15"/>
      <c r="ES251" s="15"/>
      <c r="ET251" s="15"/>
      <c r="EU251" s="15"/>
      <c r="EV251" s="15"/>
      <c r="EW251" s="15"/>
      <c r="EX251" s="15"/>
      <c r="EY251" s="15"/>
      <c r="EZ251" s="15"/>
      <c r="FA251" s="15"/>
      <c r="FB251" s="15"/>
      <c r="FC251" s="15"/>
      <c r="FD251" s="15"/>
      <c r="FE251" s="15"/>
      <c r="FF251" s="15"/>
      <c r="FG251" s="15"/>
      <c r="FH251" s="15"/>
      <c r="FI251" s="15"/>
      <c r="FJ251" s="15"/>
      <c r="FK251" s="15"/>
      <c r="FL251" s="15"/>
      <c r="FM251" s="15"/>
      <c r="FN251" s="15"/>
      <c r="FO251" s="15"/>
      <c r="FP251" s="15"/>
      <c r="FQ251" s="15"/>
      <c r="FR251" s="15"/>
      <c r="FS251" s="15"/>
      <c r="FT251" s="15"/>
      <c r="FU251" s="15"/>
      <c r="FV251" s="15"/>
      <c r="FW251" s="15"/>
      <c r="FX251" s="15"/>
      <c r="FY251" s="15"/>
      <c r="FZ251" s="15"/>
      <c r="GA251" s="15"/>
      <c r="GB251" s="15"/>
      <c r="GC251" s="15"/>
      <c r="GD251" s="15"/>
      <c r="GE251" s="15"/>
      <c r="GF251" s="15"/>
      <c r="GG251" s="15"/>
      <c r="GH251" s="15"/>
      <c r="GI251" s="15"/>
      <c r="GJ251" s="15"/>
      <c r="GK251" s="15"/>
      <c r="GL251" s="15"/>
      <c r="GM251" s="15"/>
      <c r="GN251" s="15"/>
      <c r="GO251" s="15"/>
      <c r="GP251" s="15"/>
      <c r="GQ251" s="15"/>
      <c r="GR251" s="15"/>
      <c r="GS251" s="15"/>
      <c r="GT251" s="15"/>
      <c r="GU251" s="15"/>
      <c r="GV251" s="15"/>
      <c r="GW251" s="15"/>
      <c r="GX251" s="15"/>
      <c r="GY251" s="15"/>
      <c r="GZ251" s="15"/>
      <c r="HA251" s="15"/>
      <c r="HB251" s="15"/>
      <c r="HC251" s="15"/>
      <c r="HD251" s="15"/>
      <c r="HE251" s="15"/>
      <c r="HF251" s="15"/>
      <c r="HG251" s="15"/>
      <c r="HH251" s="15"/>
      <c r="HI251" s="15"/>
      <c r="HJ251" s="15"/>
      <c r="HK251" s="15"/>
      <c r="HL251" s="15"/>
      <c r="HM251" s="15"/>
      <c r="HN251" s="15"/>
      <c r="HO251" s="15"/>
      <c r="HP251" s="15"/>
      <c r="HQ251" s="15"/>
      <c r="HR251" s="15"/>
      <c r="HS251" s="15"/>
      <c r="HT251" s="15"/>
      <c r="HU251" s="15"/>
      <c r="HV251" s="15"/>
      <c r="HW251" s="15"/>
      <c r="HX251" s="15"/>
      <c r="HY251" s="15"/>
      <c r="HZ251" s="15"/>
      <c r="IA251" s="15"/>
      <c r="IB251" s="15"/>
      <c r="IC251" s="15"/>
      <c r="ID251" s="15"/>
      <c r="IE251" s="15"/>
      <c r="IF251" s="15"/>
      <c r="IG251" s="15"/>
      <c r="IH251" s="15"/>
      <c r="II251" s="15"/>
      <c r="IJ251" s="15"/>
      <c r="IK251" s="15"/>
      <c r="IL251" s="15"/>
      <c r="IM251" s="15"/>
      <c r="IN251" s="15"/>
      <c r="IO251" s="15"/>
      <c r="IP251" s="15"/>
      <c r="IQ251" s="15"/>
      <c r="IR251" s="15"/>
      <c r="IS251" s="15"/>
      <c r="IT251" s="15"/>
      <c r="IU251" s="15"/>
      <c r="IV251" s="15"/>
    </row>
    <row r="252" spans="1:256">
      <c r="A252" s="31">
        <v>105</v>
      </c>
      <c r="B252" s="25" t="s">
        <v>214</v>
      </c>
      <c r="C252" s="24" t="s">
        <v>679</v>
      </c>
      <c r="D252" s="209" t="s">
        <v>680</v>
      </c>
      <c r="E252" s="24" t="s">
        <v>158</v>
      </c>
      <c r="F252" s="24">
        <v>34</v>
      </c>
      <c r="G252" s="24">
        <v>13770186262</v>
      </c>
      <c r="H252" s="37">
        <v>45541</v>
      </c>
      <c r="I252" s="24"/>
      <c r="J252" s="24" t="s">
        <v>22</v>
      </c>
      <c r="K252" s="24" t="s">
        <v>516</v>
      </c>
      <c r="M252" s="102"/>
      <c r="N252" s="8"/>
      <c r="O252" s="8"/>
      <c r="P252" s="98" t="s">
        <v>303</v>
      </c>
    </row>
    <row r="253" spans="1:256">
      <c r="C253" s="31" t="s">
        <v>681</v>
      </c>
      <c r="D253" s="221" t="s">
        <v>682</v>
      </c>
      <c r="E253" s="31" t="s">
        <v>152</v>
      </c>
      <c r="F253" s="31">
        <v>42</v>
      </c>
      <c r="G253" s="31">
        <v>18251432500</v>
      </c>
      <c r="H253" s="100">
        <v>45564</v>
      </c>
      <c r="J253" s="25" t="s">
        <v>22</v>
      </c>
      <c r="M253" s="31" t="s">
        <v>683</v>
      </c>
    </row>
    <row r="254" s="6" customFormat="1" ht="15" customHeight="1" spans="1:256">
      <c r="A254" s="24">
        <f t="shared" si="39"/>
        <v>252</v>
      </c>
      <c r="B254" s="24" t="s">
        <v>133</v>
      </c>
      <c r="C254" s="25" t="s">
        <v>684</v>
      </c>
      <c r="D254" s="209" t="s">
        <v>685</v>
      </c>
      <c r="E254" s="103" t="s">
        <v>152</v>
      </c>
      <c r="F254" s="103">
        <v>43</v>
      </c>
      <c r="G254" s="24">
        <v>18752230963</v>
      </c>
      <c r="H254" s="37">
        <v>45376</v>
      </c>
      <c r="I254" s="24"/>
      <c r="J254" s="24" t="s">
        <v>22</v>
      </c>
      <c r="K254" s="24" t="s">
        <v>561</v>
      </c>
      <c r="L254" s="25" t="str">
        <f ca="1">DATEDIF(H254,TODAY(),"Y")&amp;"年"&amp;DATEDIF(H254,TODAY(),"YM")&amp;"个月"</f>
        <v>2年0个月</v>
      </c>
      <c r="M254" s="1"/>
      <c r="N254" s="60"/>
      <c r="O254" s="60"/>
      <c r="P254" s="60"/>
      <c r="Q254" s="30" t="s">
        <v>396</v>
      </c>
      <c r="R254" s="46" t="s">
        <v>111</v>
      </c>
      <c r="S254" s="48" t="s">
        <v>686</v>
      </c>
      <c r="T254" s="42" t="s">
        <v>111</v>
      </c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M254" s="9"/>
      <c r="DN254" s="9"/>
      <c r="DO254" s="9"/>
      <c r="DP254" s="9"/>
      <c r="DQ254" s="9"/>
      <c r="DR254" s="9"/>
      <c r="DS254" s="9"/>
      <c r="DT254" s="9"/>
      <c r="DU254" s="9"/>
      <c r="DV254" s="9"/>
      <c r="DW254" s="9"/>
      <c r="DX254" s="9"/>
      <c r="DY254" s="9"/>
      <c r="DZ254" s="9"/>
      <c r="EA254" s="9"/>
      <c r="EB254" s="9"/>
      <c r="EC254" s="9"/>
      <c r="ED254" s="9"/>
      <c r="EE254" s="9"/>
      <c r="EF254" s="9"/>
      <c r="EG254" s="9"/>
      <c r="EH254" s="9"/>
      <c r="EI254" s="9"/>
      <c r="EJ254" s="9"/>
      <c r="EK254" s="9"/>
      <c r="EL254" s="9"/>
      <c r="EM254" s="9"/>
      <c r="EN254" s="9"/>
      <c r="EO254" s="9"/>
      <c r="EP254" s="9"/>
      <c r="EQ254" s="9"/>
      <c r="ER254" s="9"/>
      <c r="ES254" s="9"/>
      <c r="ET254" s="9"/>
      <c r="EU254" s="9"/>
      <c r="EV254" s="9"/>
      <c r="EW254" s="9"/>
      <c r="EX254" s="9"/>
      <c r="EY254" s="9"/>
      <c r="EZ254" s="9"/>
      <c r="FA254" s="9"/>
      <c r="FB254" s="9"/>
      <c r="FC254" s="9"/>
      <c r="FD254" s="9"/>
      <c r="FE254" s="9"/>
      <c r="FF254" s="9"/>
      <c r="FG254" s="9"/>
      <c r="FH254" s="9"/>
      <c r="FI254" s="9"/>
      <c r="FJ254" s="9"/>
      <c r="FK254" s="9"/>
      <c r="FL254" s="9"/>
      <c r="FM254" s="9"/>
      <c r="FN254" s="9"/>
      <c r="FO254" s="9"/>
      <c r="FP254" s="9"/>
      <c r="FQ254" s="9"/>
      <c r="FR254" s="9"/>
      <c r="FS254" s="9"/>
      <c r="FT254" s="9"/>
      <c r="FU254" s="9"/>
      <c r="FV254" s="9"/>
      <c r="FW254" s="9"/>
      <c r="FX254" s="9"/>
      <c r="FY254" s="9"/>
      <c r="FZ254" s="9"/>
      <c r="GA254" s="9"/>
      <c r="GB254" s="9"/>
      <c r="GC254" s="9"/>
      <c r="GD254" s="9"/>
      <c r="GE254" s="9"/>
      <c r="GF254" s="9"/>
      <c r="GG254" s="9"/>
      <c r="GH254" s="9"/>
      <c r="GI254" s="9"/>
      <c r="GJ254" s="9"/>
      <c r="GK254" s="9"/>
      <c r="GL254" s="9"/>
      <c r="GM254" s="9"/>
      <c r="GN254" s="9"/>
      <c r="GO254" s="9"/>
      <c r="GP254" s="9"/>
      <c r="GQ254" s="9"/>
      <c r="GR254" s="9"/>
      <c r="GS254" s="9"/>
      <c r="GT254" s="9"/>
      <c r="GU254" s="9"/>
      <c r="GV254" s="9"/>
      <c r="GW254" s="9"/>
      <c r="GX254" s="9"/>
      <c r="GY254" s="9"/>
      <c r="GZ254" s="9"/>
      <c r="HA254" s="9"/>
      <c r="HB254" s="9"/>
      <c r="HC254" s="9"/>
      <c r="HD254" s="9"/>
      <c r="HE254" s="9"/>
      <c r="HF254" s="9"/>
      <c r="HG254" s="9"/>
      <c r="HH254" s="9"/>
      <c r="HI254" s="9"/>
      <c r="HJ254" s="9"/>
      <c r="HK254" s="9"/>
      <c r="HL254" s="9"/>
      <c r="HM254" s="9"/>
      <c r="HN254" s="9"/>
      <c r="HO254" s="9"/>
      <c r="HP254" s="9"/>
      <c r="HQ254" s="9"/>
      <c r="HR254" s="9"/>
      <c r="HS254" s="9"/>
      <c r="HT254" s="9"/>
      <c r="HU254" s="9"/>
      <c r="HV254" s="9"/>
      <c r="HW254" s="9"/>
      <c r="HX254" s="9"/>
      <c r="HY254" s="9"/>
      <c r="HZ254" s="9"/>
      <c r="IA254" s="9"/>
      <c r="IB254" s="9"/>
      <c r="IC254" s="9"/>
      <c r="ID254" s="9"/>
      <c r="IE254" s="9"/>
      <c r="IF254" s="9"/>
      <c r="IG254" s="9"/>
      <c r="IH254" s="9"/>
      <c r="II254" s="9"/>
      <c r="IJ254" s="9"/>
      <c r="IK254" s="9"/>
      <c r="IL254" s="9"/>
      <c r="IM254" s="9"/>
      <c r="IN254" s="9"/>
      <c r="IO254" s="9"/>
      <c r="IP254" s="9"/>
      <c r="IQ254" s="9"/>
      <c r="IR254" s="9"/>
      <c r="IS254" s="9"/>
      <c r="IT254" s="9"/>
      <c r="IU254" s="9"/>
      <c r="IV254" s="9"/>
    </row>
    <row r="255" spans="1:256">
      <c r="A255" s="31">
        <v>111</v>
      </c>
      <c r="B255" s="25" t="s">
        <v>159</v>
      </c>
      <c r="C255" s="18" t="s">
        <v>687</v>
      </c>
      <c r="D255" s="213" t="s">
        <v>688</v>
      </c>
      <c r="E255" s="18" t="s">
        <v>152</v>
      </c>
      <c r="F255" s="18">
        <v>37</v>
      </c>
      <c r="G255" s="18">
        <v>15365685821</v>
      </c>
      <c r="H255" s="66">
        <v>45570</v>
      </c>
      <c r="I255" s="18"/>
      <c r="J255" s="18" t="s">
        <v>22</v>
      </c>
      <c r="K255" s="18" t="s">
        <v>561</v>
      </c>
    </row>
    <row r="256" spans="1:256">
      <c r="A256" s="31">
        <v>112</v>
      </c>
      <c r="B256" s="25" t="s">
        <v>162</v>
      </c>
      <c r="C256" s="18" t="s">
        <v>689</v>
      </c>
      <c r="D256" s="213" t="s">
        <v>690</v>
      </c>
      <c r="E256" s="18" t="s">
        <v>152</v>
      </c>
      <c r="F256" s="18">
        <v>38</v>
      </c>
      <c r="G256" s="18">
        <v>15962026359</v>
      </c>
      <c r="H256" s="66">
        <v>45573</v>
      </c>
      <c r="I256" s="18"/>
      <c r="J256" s="18" t="s">
        <v>22</v>
      </c>
      <c r="K256" s="18" t="s">
        <v>100</v>
      </c>
    </row>
    <row r="257" s="6" customFormat="1" ht="15" customHeight="1" spans="1:256">
      <c r="A257" s="48">
        <v>102</v>
      </c>
      <c r="B257" s="48" t="s">
        <v>567</v>
      </c>
      <c r="C257" s="25" t="s">
        <v>691</v>
      </c>
      <c r="D257" s="205" t="s">
        <v>692</v>
      </c>
      <c r="E257" s="25" t="s">
        <v>152</v>
      </c>
      <c r="F257" s="31">
        <v>21</v>
      </c>
      <c r="G257" s="31">
        <v>13337982003</v>
      </c>
      <c r="H257" s="100">
        <v>45525</v>
      </c>
      <c r="I257" s="104"/>
      <c r="J257" s="18" t="s">
        <v>22</v>
      </c>
      <c r="K257" s="18" t="s">
        <v>340</v>
      </c>
      <c r="L257" s="105"/>
      <c r="N257" s="8"/>
      <c r="O257" s="8"/>
      <c r="P257" s="98" t="s">
        <v>303</v>
      </c>
      <c r="Q257" s="8"/>
      <c r="R257" s="8"/>
      <c r="S257" s="8"/>
      <c r="T257" s="8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/>
      <c r="DU257" s="9"/>
      <c r="DV257" s="9"/>
      <c r="DW257" s="9"/>
      <c r="DX257" s="9"/>
      <c r="DY257" s="9"/>
      <c r="DZ257" s="9"/>
      <c r="EA257" s="9"/>
      <c r="EB257" s="9"/>
      <c r="EC257" s="9"/>
      <c r="ED257" s="9"/>
      <c r="EE257" s="9"/>
      <c r="EF257" s="9"/>
      <c r="EG257" s="9"/>
      <c r="EH257" s="9"/>
      <c r="EI257" s="9"/>
      <c r="EJ257" s="9"/>
      <c r="EK257" s="9"/>
      <c r="EL257" s="9"/>
      <c r="EM257" s="9"/>
      <c r="EN257" s="9"/>
      <c r="EO257" s="9"/>
      <c r="EP257" s="9"/>
      <c r="EQ257" s="9"/>
      <c r="ER257" s="9"/>
      <c r="ES257" s="9"/>
      <c r="ET257" s="9"/>
      <c r="EU257" s="9"/>
      <c r="EV257" s="9"/>
      <c r="EW257" s="9"/>
      <c r="EX257" s="9"/>
      <c r="EY257" s="9"/>
      <c r="EZ257" s="9"/>
      <c r="FA257" s="9"/>
      <c r="FB257" s="9"/>
      <c r="FC257" s="9"/>
      <c r="FD257" s="9"/>
      <c r="FE257" s="9"/>
      <c r="FF257" s="9"/>
      <c r="FG257" s="9"/>
      <c r="FH257" s="9"/>
      <c r="FI257" s="9"/>
      <c r="FJ257" s="9"/>
      <c r="FK257" s="9"/>
      <c r="FL257" s="9"/>
      <c r="FM257" s="9"/>
      <c r="FN257" s="9"/>
      <c r="FO257" s="9"/>
      <c r="FP257" s="9"/>
      <c r="FQ257" s="9"/>
      <c r="FR257" s="9"/>
      <c r="FS257" s="9"/>
      <c r="FT257" s="9"/>
      <c r="FU257" s="9"/>
      <c r="FV257" s="9"/>
      <c r="FW257" s="9"/>
      <c r="FX257" s="9"/>
      <c r="FY257" s="9"/>
      <c r="FZ257" s="9"/>
      <c r="GA257" s="9"/>
      <c r="GB257" s="9"/>
      <c r="GC257" s="9"/>
      <c r="GD257" s="9"/>
      <c r="GE257" s="9"/>
      <c r="GF257" s="9"/>
      <c r="GG257" s="9"/>
      <c r="GH257" s="9"/>
      <c r="GI257" s="9"/>
      <c r="GJ257" s="9"/>
      <c r="GK257" s="9"/>
      <c r="GL257" s="9"/>
      <c r="GM257" s="9"/>
      <c r="GN257" s="9"/>
      <c r="GO257" s="9"/>
      <c r="GP257" s="9"/>
      <c r="GQ257" s="9"/>
      <c r="GR257" s="9"/>
      <c r="GS257" s="9"/>
      <c r="GT257" s="9"/>
      <c r="GU257" s="9"/>
      <c r="GV257" s="9"/>
      <c r="GW257" s="9"/>
      <c r="GX257" s="9"/>
      <c r="GY257" s="9"/>
      <c r="GZ257" s="9"/>
      <c r="HA257" s="9"/>
      <c r="HB257" s="9"/>
      <c r="HC257" s="9"/>
      <c r="HD257" s="9"/>
      <c r="HE257" s="9"/>
      <c r="HF257" s="9"/>
      <c r="HG257" s="9"/>
      <c r="HH257" s="9"/>
      <c r="HI257" s="9"/>
      <c r="HJ257" s="9"/>
      <c r="HK257" s="9"/>
      <c r="HL257" s="9"/>
      <c r="HM257" s="9"/>
      <c r="HN257" s="9"/>
      <c r="HO257" s="9"/>
      <c r="HP257" s="9"/>
      <c r="HQ257" s="9"/>
      <c r="HR257" s="9"/>
      <c r="HS257" s="9"/>
      <c r="HT257" s="9"/>
      <c r="HU257" s="9"/>
      <c r="HV257" s="9"/>
      <c r="HW257" s="9"/>
      <c r="HX257" s="9"/>
      <c r="HY257" s="9"/>
      <c r="HZ257" s="9"/>
      <c r="IA257" s="9"/>
      <c r="IB257" s="9"/>
      <c r="IC257" s="9"/>
      <c r="ID257" s="9"/>
      <c r="IE257" s="9"/>
      <c r="IF257" s="9"/>
      <c r="IG257" s="9"/>
      <c r="IH257" s="9"/>
      <c r="II257" s="9"/>
      <c r="IJ257" s="9"/>
      <c r="IK257" s="9"/>
      <c r="IL257" s="9"/>
      <c r="IM257" s="9"/>
      <c r="IN257" s="9"/>
      <c r="IO257" s="9"/>
      <c r="IP257" s="9"/>
      <c r="IQ257" s="9"/>
      <c r="IR257" s="9"/>
      <c r="IS257" s="9"/>
      <c r="IT257" s="9"/>
      <c r="IU257" s="9"/>
      <c r="IV257" s="9"/>
    </row>
    <row r="258" customFormat="1" ht="15" customHeight="1" spans="1:256">
      <c r="A258" s="31">
        <v>112</v>
      </c>
      <c r="B258" s="25" t="s">
        <v>162</v>
      </c>
      <c r="C258" s="18" t="s">
        <v>693</v>
      </c>
      <c r="D258" s="213" t="s">
        <v>694</v>
      </c>
      <c r="E258" s="18" t="s">
        <v>152</v>
      </c>
      <c r="F258" s="18">
        <v>48</v>
      </c>
      <c r="G258" s="18">
        <v>13524394890</v>
      </c>
      <c r="H258" s="66">
        <v>45601</v>
      </c>
      <c r="J258" s="8"/>
      <c r="K258" s="8" t="s">
        <v>22</v>
      </c>
      <c r="L258" s="8"/>
      <c r="M258" s="8"/>
      <c r="N258" s="8"/>
      <c r="O258" s="8"/>
      <c r="P258" s="106"/>
      <c r="S258" s="8"/>
      <c r="T258" s="106"/>
    </row>
    <row r="259" customFormat="1" ht="15" customHeight="1" spans="1:256">
      <c r="A259" s="31">
        <v>111</v>
      </c>
      <c r="B259" s="25" t="s">
        <v>159</v>
      </c>
      <c r="C259" s="18" t="s">
        <v>695</v>
      </c>
      <c r="D259" s="213" t="s">
        <v>696</v>
      </c>
      <c r="E259" s="18" t="s">
        <v>152</v>
      </c>
      <c r="F259" s="18">
        <v>48</v>
      </c>
      <c r="G259" s="18">
        <v>13901410979</v>
      </c>
      <c r="H259" s="66">
        <v>45586</v>
      </c>
      <c r="I259" s="8"/>
      <c r="J259" s="18" t="s">
        <v>22</v>
      </c>
      <c r="K259" s="8"/>
      <c r="L259" s="8"/>
      <c r="M259" s="8"/>
      <c r="N259" s="8"/>
      <c r="O259" s="8"/>
      <c r="P259" s="8"/>
      <c r="Q259" s="8"/>
      <c r="R259" s="8"/>
      <c r="S259" s="8"/>
      <c r="T259" s="106"/>
    </row>
    <row r="260" customFormat="1" ht="15" customHeight="1" spans="1:256">
      <c r="A260" s="31">
        <v>113</v>
      </c>
      <c r="B260" s="25" t="s">
        <v>697</v>
      </c>
      <c r="C260" s="18" t="s">
        <v>698</v>
      </c>
      <c r="D260" s="213" t="s">
        <v>699</v>
      </c>
      <c r="E260" s="18" t="s">
        <v>158</v>
      </c>
      <c r="F260" s="18">
        <v>36</v>
      </c>
      <c r="G260" s="18">
        <v>13962020314</v>
      </c>
      <c r="H260" s="66">
        <v>45601</v>
      </c>
      <c r="I260" s="18"/>
      <c r="J260" s="18" t="s">
        <v>22</v>
      </c>
      <c r="K260" s="8"/>
      <c r="L260" s="8"/>
      <c r="M260" s="8"/>
      <c r="N260" s="8"/>
      <c r="O260" s="8"/>
      <c r="P260" s="8"/>
      <c r="Q260" s="8"/>
      <c r="R260" s="8"/>
      <c r="S260" s="8"/>
      <c r="T260" s="106"/>
    </row>
    <row r="261" customFormat="1" ht="15" customHeight="1" spans="1:256">
      <c r="A261" s="18">
        <v>114</v>
      </c>
      <c r="B261" s="47" t="s">
        <v>202</v>
      </c>
      <c r="C261" s="18" t="s">
        <v>700</v>
      </c>
      <c r="D261" s="213" t="s">
        <v>701</v>
      </c>
      <c r="E261" s="18" t="s">
        <v>158</v>
      </c>
      <c r="F261" s="18">
        <v>56</v>
      </c>
      <c r="G261" s="18">
        <v>13814351183</v>
      </c>
      <c r="H261" s="66">
        <v>45610</v>
      </c>
      <c r="I261" s="107"/>
      <c r="J261" s="18"/>
      <c r="K261" s="8"/>
      <c r="L261" s="8"/>
      <c r="M261" s="8"/>
      <c r="N261" s="108"/>
      <c r="O261" s="8"/>
      <c r="P261" s="8"/>
      <c r="Q261" s="8"/>
      <c r="R261" s="8"/>
      <c r="S261" s="8"/>
      <c r="T261" s="106"/>
    </row>
    <row r="262" s="8" customFormat="1" ht="15" customHeight="1" spans="1:256">
      <c r="A262" s="18">
        <v>112</v>
      </c>
      <c r="B262" s="47" t="s">
        <v>162</v>
      </c>
      <c r="C262" s="109" t="s">
        <v>702</v>
      </c>
      <c r="D262" s="224" t="s">
        <v>703</v>
      </c>
      <c r="E262" s="109" t="s">
        <v>152</v>
      </c>
      <c r="F262" s="109">
        <v>51</v>
      </c>
      <c r="G262" s="109">
        <v>15851099861</v>
      </c>
      <c r="H262" s="110">
        <v>45607</v>
      </c>
      <c r="J262" s="18"/>
    </row>
    <row r="263" s="6" customFormat="1" ht="15" customHeight="1" spans="1:256">
      <c r="A263" s="24">
        <f>ROW()-2</f>
        <v>261</v>
      </c>
      <c r="B263" s="48" t="s">
        <v>704</v>
      </c>
      <c r="C263" s="73" t="s">
        <v>705</v>
      </c>
      <c r="D263" s="216" t="s">
        <v>706</v>
      </c>
      <c r="E263" s="73" t="s">
        <v>152</v>
      </c>
      <c r="F263" s="73">
        <v>49</v>
      </c>
      <c r="G263" s="73">
        <v>15962029715</v>
      </c>
      <c r="H263" s="74">
        <v>45457</v>
      </c>
      <c r="I263" s="18"/>
      <c r="J263" s="18" t="s">
        <v>22</v>
      </c>
      <c r="K263" s="18" t="s">
        <v>452</v>
      </c>
      <c r="L263" s="25" t="str">
        <f ca="1" t="shared" ref="L263:L269" si="40">DATEDIF(H263,TODAY(),"Y")&amp;"年"&amp;DATEDIF(H263,TODAY(),"YM")&amp;"个月"</f>
        <v>1年9个月</v>
      </c>
      <c r="M263" s="60"/>
      <c r="N263" s="48"/>
      <c r="O263" s="48"/>
      <c r="P263" s="98" t="s">
        <v>303</v>
      </c>
      <c r="Q263" s="48"/>
      <c r="R263" s="48"/>
      <c r="S263" s="48"/>
      <c r="T263" s="48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  <c r="DC263" s="9"/>
      <c r="DD263" s="9"/>
      <c r="DE263" s="9"/>
      <c r="DF263" s="9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  <c r="EM263" s="9"/>
      <c r="EN263" s="9"/>
      <c r="EO263" s="9"/>
      <c r="EP263" s="9"/>
      <c r="EQ263" s="9"/>
      <c r="ER263" s="9"/>
      <c r="ES263" s="9"/>
      <c r="ET263" s="9"/>
      <c r="EU263" s="9"/>
      <c r="EV263" s="9"/>
      <c r="EW263" s="9"/>
      <c r="EX263" s="9"/>
      <c r="EY263" s="9"/>
      <c r="EZ263" s="9"/>
      <c r="FA263" s="9"/>
      <c r="FB263" s="9"/>
      <c r="FC263" s="9"/>
      <c r="FD263" s="9"/>
      <c r="FE263" s="9"/>
      <c r="FF263" s="9"/>
      <c r="FG263" s="9"/>
      <c r="FH263" s="9"/>
      <c r="FI263" s="9"/>
      <c r="FJ263" s="9"/>
      <c r="FK263" s="9"/>
      <c r="FL263" s="9"/>
      <c r="FM263" s="9"/>
      <c r="FN263" s="9"/>
      <c r="FO263" s="9"/>
      <c r="FP263" s="9"/>
      <c r="FQ263" s="9"/>
      <c r="FR263" s="9"/>
      <c r="FS263" s="9"/>
      <c r="FT263" s="9"/>
      <c r="FU263" s="9"/>
      <c r="FV263" s="9"/>
      <c r="FW263" s="9"/>
      <c r="FX263" s="9"/>
      <c r="FY263" s="9"/>
      <c r="FZ263" s="9"/>
      <c r="GA263" s="9"/>
      <c r="GB263" s="9"/>
      <c r="GC263" s="9"/>
      <c r="GD263" s="9"/>
      <c r="GE263" s="9"/>
      <c r="GF263" s="9"/>
      <c r="GG263" s="9"/>
      <c r="GH263" s="9"/>
      <c r="GI263" s="9"/>
      <c r="GJ263" s="9"/>
      <c r="GK263" s="9"/>
      <c r="GL263" s="9"/>
      <c r="GM263" s="9"/>
      <c r="GN263" s="9"/>
      <c r="GO263" s="9"/>
      <c r="GP263" s="9"/>
      <c r="GQ263" s="9"/>
      <c r="GR263" s="9"/>
      <c r="GS263" s="9"/>
      <c r="GT263" s="9"/>
      <c r="GU263" s="9"/>
      <c r="GV263" s="9"/>
      <c r="GW263" s="9"/>
      <c r="GX263" s="9"/>
      <c r="GY263" s="9"/>
      <c r="GZ263" s="9"/>
      <c r="HA263" s="9"/>
      <c r="HB263" s="9"/>
      <c r="HC263" s="9"/>
      <c r="HD263" s="9"/>
      <c r="HE263" s="9"/>
      <c r="HF263" s="9"/>
      <c r="HG263" s="9"/>
      <c r="HH263" s="9"/>
      <c r="HI263" s="9"/>
      <c r="HJ263" s="9"/>
      <c r="HK263" s="9"/>
      <c r="HL263" s="9"/>
      <c r="HM263" s="9"/>
      <c r="HN263" s="9"/>
      <c r="HO263" s="9"/>
      <c r="HP263" s="9"/>
      <c r="HQ263" s="9"/>
      <c r="HR263" s="9"/>
      <c r="HS263" s="9"/>
      <c r="HT263" s="9"/>
      <c r="HU263" s="9"/>
      <c r="HV263" s="9"/>
      <c r="HW263" s="9"/>
      <c r="HX263" s="9"/>
      <c r="HY263" s="9"/>
      <c r="HZ263" s="9"/>
      <c r="IA263" s="9"/>
      <c r="IB263" s="9"/>
      <c r="IC263" s="9"/>
      <c r="ID263" s="9"/>
      <c r="IE263" s="9"/>
      <c r="IF263" s="9"/>
      <c r="IG263" s="9"/>
      <c r="IH263" s="9"/>
      <c r="II263" s="9"/>
      <c r="IJ263" s="9"/>
      <c r="IK263" s="9"/>
      <c r="IL263" s="9"/>
      <c r="IM263" s="9"/>
      <c r="IN263" s="9"/>
      <c r="IO263" s="9"/>
      <c r="IP263" s="9"/>
      <c r="IQ263" s="9"/>
      <c r="IR263" s="9"/>
      <c r="IS263" s="9"/>
      <c r="IT263" s="9"/>
      <c r="IU263" s="9"/>
      <c r="IV263" s="9"/>
    </row>
    <row r="264" s="6" customFormat="1" ht="15" customHeight="1" spans="1:256">
      <c r="A264" s="18">
        <v>104</v>
      </c>
      <c r="B264" s="48" t="s">
        <v>165</v>
      </c>
      <c r="C264" s="25" t="s">
        <v>707</v>
      </c>
      <c r="D264" s="205" t="s">
        <v>708</v>
      </c>
      <c r="E264" s="25" t="s">
        <v>158</v>
      </c>
      <c r="F264" s="31">
        <v>50</v>
      </c>
      <c r="G264" s="31">
        <v>15905116835</v>
      </c>
      <c r="H264" s="100">
        <v>45531</v>
      </c>
      <c r="I264" s="111"/>
      <c r="J264" s="18" t="s">
        <v>22</v>
      </c>
      <c r="K264" s="18" t="s">
        <v>285</v>
      </c>
      <c r="L264" s="60"/>
      <c r="M264" s="60"/>
      <c r="N264" s="8"/>
      <c r="O264" s="8"/>
      <c r="P264" s="98" t="s">
        <v>303</v>
      </c>
      <c r="Q264" s="8"/>
      <c r="R264" s="8"/>
      <c r="S264" s="8"/>
      <c r="T264" s="8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  <c r="DQ264" s="9"/>
      <c r="DR264" s="9"/>
      <c r="DS264" s="9"/>
      <c r="DT264" s="9"/>
      <c r="DU264" s="9"/>
      <c r="DV264" s="9"/>
      <c r="DW264" s="9"/>
      <c r="DX264" s="9"/>
      <c r="DY264" s="9"/>
      <c r="DZ264" s="9"/>
      <c r="EA264" s="9"/>
      <c r="EB264" s="9"/>
      <c r="EC264" s="9"/>
      <c r="ED264" s="9"/>
      <c r="EE264" s="9"/>
      <c r="EF264" s="9"/>
      <c r="EG264" s="9"/>
      <c r="EH264" s="9"/>
      <c r="EI264" s="9"/>
      <c r="EJ264" s="9"/>
      <c r="EK264" s="9"/>
      <c r="EL264" s="9"/>
      <c r="EM264" s="9"/>
      <c r="EN264" s="9"/>
      <c r="EO264" s="9"/>
      <c r="EP264" s="9"/>
      <c r="EQ264" s="9"/>
      <c r="ER264" s="9"/>
      <c r="ES264" s="9"/>
      <c r="ET264" s="9"/>
      <c r="EU264" s="9"/>
      <c r="EV264" s="9"/>
      <c r="EW264" s="9"/>
      <c r="EX264" s="9"/>
      <c r="EY264" s="9"/>
      <c r="EZ264" s="9"/>
      <c r="FA264" s="9"/>
      <c r="FB264" s="9"/>
      <c r="FC264" s="9"/>
      <c r="FD264" s="9"/>
      <c r="FE264" s="9"/>
      <c r="FF264" s="9"/>
      <c r="FG264" s="9"/>
      <c r="FH264" s="9"/>
      <c r="FI264" s="9"/>
      <c r="FJ264" s="9"/>
      <c r="FK264" s="9"/>
      <c r="FL264" s="9"/>
      <c r="FM264" s="9"/>
      <c r="FN264" s="9"/>
      <c r="FO264" s="9"/>
      <c r="FP264" s="9"/>
      <c r="FQ264" s="9"/>
      <c r="FR264" s="9"/>
      <c r="FS264" s="9"/>
      <c r="FT264" s="9"/>
      <c r="FU264" s="9"/>
      <c r="FV264" s="9"/>
      <c r="FW264" s="9"/>
      <c r="FX264" s="9"/>
      <c r="FY264" s="9"/>
      <c r="FZ264" s="9"/>
      <c r="GA264" s="9"/>
      <c r="GB264" s="9"/>
      <c r="GC264" s="9"/>
      <c r="GD264" s="9"/>
      <c r="GE264" s="9"/>
      <c r="GF264" s="9"/>
      <c r="GG264" s="9"/>
      <c r="GH264" s="9"/>
      <c r="GI264" s="9"/>
      <c r="GJ264" s="9"/>
      <c r="GK264" s="9"/>
      <c r="GL264" s="9"/>
      <c r="GM264" s="9"/>
      <c r="GN264" s="9"/>
      <c r="GO264" s="9"/>
      <c r="GP264" s="9"/>
      <c r="GQ264" s="9"/>
      <c r="GR264" s="9"/>
      <c r="GS264" s="9"/>
      <c r="GT264" s="9"/>
      <c r="GU264" s="9"/>
      <c r="GV264" s="9"/>
      <c r="GW264" s="9"/>
      <c r="GX264" s="9"/>
      <c r="GY264" s="9"/>
      <c r="GZ264" s="9"/>
      <c r="HA264" s="9"/>
      <c r="HB264" s="9"/>
      <c r="HC264" s="9"/>
      <c r="HD264" s="9"/>
      <c r="HE264" s="9"/>
      <c r="HF264" s="9"/>
      <c r="HG264" s="9"/>
      <c r="HH264" s="9"/>
      <c r="HI264" s="9"/>
      <c r="HJ264" s="9"/>
      <c r="HK264" s="9"/>
      <c r="HL264" s="9"/>
      <c r="HM264" s="9"/>
      <c r="HN264" s="9"/>
      <c r="HO264" s="9"/>
      <c r="HP264" s="9"/>
      <c r="HQ264" s="9"/>
      <c r="HR264" s="9"/>
      <c r="HS264" s="9"/>
      <c r="HT264" s="9"/>
      <c r="HU264" s="9"/>
      <c r="HV264" s="9"/>
      <c r="HW264" s="9"/>
      <c r="HX264" s="9"/>
      <c r="HY264" s="9"/>
      <c r="HZ264" s="9"/>
      <c r="IA264" s="9"/>
      <c r="IB264" s="9"/>
      <c r="IC264" s="9"/>
      <c r="ID264" s="9"/>
      <c r="IE264" s="9"/>
      <c r="IF264" s="9"/>
      <c r="IG264" s="9"/>
      <c r="IH264" s="9"/>
      <c r="II264" s="9"/>
      <c r="IJ264" s="9"/>
      <c r="IK264" s="9"/>
      <c r="IL264" s="9"/>
      <c r="IM264" s="9"/>
      <c r="IN264" s="9"/>
      <c r="IO264" s="9"/>
      <c r="IP264" s="9"/>
      <c r="IQ264" s="9"/>
      <c r="IR264" s="9"/>
      <c r="IS264" s="9"/>
      <c r="IT264" s="9"/>
      <c r="IU264" s="9"/>
      <c r="IV264" s="9"/>
    </row>
    <row r="265" customFormat="1" ht="15" customHeight="1" spans="1:256">
      <c r="A265" s="80">
        <v>113</v>
      </c>
      <c r="B265" s="47" t="s">
        <v>697</v>
      </c>
      <c r="C265" s="112" t="s">
        <v>709</v>
      </c>
      <c r="D265" s="225" t="s">
        <v>710</v>
      </c>
      <c r="E265" s="112" t="s">
        <v>152</v>
      </c>
      <c r="F265" s="112">
        <v>40</v>
      </c>
      <c r="G265" s="112">
        <v>13962029627</v>
      </c>
      <c r="H265" s="113">
        <v>45609</v>
      </c>
      <c r="I265" s="114"/>
      <c r="J265" s="115" t="s">
        <v>22</v>
      </c>
      <c r="K265" s="109" t="s">
        <v>100</v>
      </c>
      <c r="L265" s="8"/>
      <c r="M265" s="8"/>
      <c r="N265" s="116"/>
      <c r="O265" s="114"/>
      <c r="P265" s="114"/>
      <c r="Q265" s="114"/>
      <c r="R265" s="114"/>
      <c r="S265" s="114"/>
      <c r="T265" s="117"/>
    </row>
    <row r="266" s="6" customFormat="1" ht="15" customHeight="1" spans="1:256">
      <c r="A266" s="24"/>
      <c r="B266" s="48" t="s">
        <v>187</v>
      </c>
      <c r="C266" s="25" t="s">
        <v>711</v>
      </c>
      <c r="D266" s="25" t="s">
        <v>712</v>
      </c>
      <c r="E266" s="25" t="s">
        <v>158</v>
      </c>
      <c r="F266" s="24">
        <v>39</v>
      </c>
      <c r="G266" s="24">
        <v>13611505696</v>
      </c>
      <c r="H266" s="37">
        <v>45505</v>
      </c>
      <c r="I266" s="92"/>
      <c r="J266" s="48" t="s">
        <v>22</v>
      </c>
      <c r="K266" s="48" t="s">
        <v>713</v>
      </c>
      <c r="L266" s="60"/>
      <c r="M266" s="60"/>
      <c r="N266" s="97"/>
      <c r="O266" s="68"/>
      <c r="P266" s="98" t="s">
        <v>303</v>
      </c>
      <c r="Q266" s="48"/>
      <c r="R266" s="48"/>
      <c r="S266" s="48"/>
      <c r="T266" s="48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9"/>
      <c r="DE266" s="9"/>
      <c r="DF266" s="9"/>
      <c r="DG266" s="9"/>
      <c r="DH266" s="9"/>
      <c r="DI266" s="9"/>
      <c r="DJ266" s="9"/>
      <c r="DK266" s="9"/>
      <c r="DL266" s="9"/>
      <c r="DM266" s="9"/>
      <c r="DN266" s="9"/>
      <c r="DO266" s="9"/>
      <c r="DP266" s="9"/>
      <c r="DQ266" s="9"/>
      <c r="DR266" s="9"/>
      <c r="DS266" s="9"/>
      <c r="DT266" s="9"/>
      <c r="DU266" s="9"/>
      <c r="DV266" s="9"/>
      <c r="DW266" s="9"/>
      <c r="DX266" s="9"/>
      <c r="DY266" s="9"/>
      <c r="DZ266" s="9"/>
      <c r="EA266" s="9"/>
      <c r="EB266" s="9"/>
      <c r="EC266" s="9"/>
      <c r="ED266" s="9"/>
      <c r="EE266" s="9"/>
      <c r="EF266" s="9"/>
      <c r="EG266" s="9"/>
      <c r="EH266" s="9"/>
      <c r="EI266" s="9"/>
      <c r="EJ266" s="9"/>
      <c r="EK266" s="9"/>
      <c r="EL266" s="9"/>
      <c r="EM266" s="9"/>
      <c r="EN266" s="9"/>
      <c r="EO266" s="9"/>
      <c r="EP266" s="9"/>
      <c r="EQ266" s="9"/>
      <c r="ER266" s="9"/>
      <c r="ES266" s="9"/>
      <c r="ET266" s="9"/>
      <c r="EU266" s="9"/>
      <c r="EV266" s="9"/>
      <c r="EW266" s="9"/>
      <c r="EX266" s="9"/>
      <c r="EY266" s="9"/>
      <c r="EZ266" s="9"/>
      <c r="FA266" s="9"/>
      <c r="FB266" s="9"/>
      <c r="FC266" s="9"/>
      <c r="FD266" s="9"/>
      <c r="FE266" s="9"/>
      <c r="FF266" s="9"/>
      <c r="FG266" s="9"/>
      <c r="FH266" s="9"/>
      <c r="FI266" s="9"/>
      <c r="FJ266" s="9"/>
      <c r="FK266" s="9"/>
      <c r="FL266" s="9"/>
      <c r="FM266" s="9"/>
      <c r="FN266" s="9"/>
      <c r="FO266" s="9"/>
      <c r="FP266" s="9"/>
      <c r="FQ266" s="9"/>
      <c r="FR266" s="9"/>
      <c r="FS266" s="9"/>
      <c r="FT266" s="9"/>
      <c r="FU266" s="9"/>
      <c r="FV266" s="9"/>
      <c r="FW266" s="9"/>
      <c r="FX266" s="9"/>
      <c r="FY266" s="9"/>
      <c r="FZ266" s="9"/>
      <c r="GA266" s="9"/>
      <c r="GB266" s="9"/>
      <c r="GC266" s="9"/>
      <c r="GD266" s="9"/>
      <c r="GE266" s="9"/>
      <c r="GF266" s="9"/>
      <c r="GG266" s="9"/>
      <c r="GH266" s="9"/>
      <c r="GI266" s="9"/>
      <c r="GJ266" s="9"/>
      <c r="GK266" s="9"/>
      <c r="GL266" s="9"/>
      <c r="GM266" s="9"/>
      <c r="GN266" s="9"/>
      <c r="GO266" s="9"/>
      <c r="GP266" s="9"/>
      <c r="GQ266" s="9"/>
      <c r="GR266" s="9"/>
      <c r="GS266" s="9"/>
      <c r="GT266" s="9"/>
      <c r="GU266" s="9"/>
      <c r="GV266" s="9"/>
      <c r="GW266" s="9"/>
      <c r="GX266" s="9"/>
      <c r="GY266" s="9"/>
      <c r="GZ266" s="9"/>
      <c r="HA266" s="9"/>
      <c r="HB266" s="9"/>
      <c r="HC266" s="9"/>
      <c r="HD266" s="9"/>
      <c r="HE266" s="9"/>
      <c r="HF266" s="9"/>
      <c r="HG266" s="9"/>
      <c r="HH266" s="9"/>
      <c r="HI266" s="9"/>
      <c r="HJ266" s="9"/>
      <c r="HK266" s="9"/>
      <c r="HL266" s="9"/>
      <c r="HM266" s="9"/>
      <c r="HN266" s="9"/>
      <c r="HO266" s="9"/>
      <c r="HP266" s="9"/>
      <c r="HQ266" s="9"/>
      <c r="HR266" s="9"/>
      <c r="HS266" s="9"/>
      <c r="HT266" s="9"/>
      <c r="HU266" s="9"/>
      <c r="HV266" s="9"/>
      <c r="HW266" s="9"/>
      <c r="HX266" s="9"/>
      <c r="HY266" s="9"/>
      <c r="HZ266" s="9"/>
      <c r="IA266" s="9"/>
      <c r="IB266" s="9"/>
      <c r="IC266" s="9"/>
      <c r="ID266" s="9"/>
      <c r="IE266" s="9"/>
      <c r="IF266" s="9"/>
      <c r="IG266" s="9"/>
      <c r="IH266" s="9"/>
      <c r="II266" s="9"/>
      <c r="IJ266" s="9"/>
      <c r="IK266" s="9"/>
      <c r="IL266" s="9"/>
      <c r="IM266" s="9"/>
      <c r="IN266" s="9"/>
      <c r="IO266" s="9"/>
      <c r="IP266" s="9"/>
      <c r="IQ266" s="9"/>
      <c r="IR266" s="9"/>
      <c r="IS266" s="9"/>
      <c r="IT266" s="9"/>
      <c r="IU266" s="9"/>
      <c r="IV266" s="9"/>
    </row>
    <row r="267" spans="1:256">
      <c r="C267" s="18" t="s">
        <v>714</v>
      </c>
      <c r="D267" s="213" t="s">
        <v>715</v>
      </c>
      <c r="E267" s="18" t="s">
        <v>158</v>
      </c>
      <c r="F267" s="18">
        <v>34</v>
      </c>
      <c r="G267" s="18">
        <v>15605198823</v>
      </c>
      <c r="H267" s="66">
        <v>45645</v>
      </c>
      <c r="I267" s="18"/>
      <c r="J267" s="18" t="s">
        <v>22</v>
      </c>
      <c r="K267" s="18" t="s">
        <v>716</v>
      </c>
      <c r="L267" s="25" t="str">
        <f ca="1" t="shared" si="40"/>
        <v>1年3个月</v>
      </c>
    </row>
    <row r="268" spans="1:256">
      <c r="C268" s="48" t="s">
        <v>717</v>
      </c>
      <c r="D268" s="210" t="s">
        <v>718</v>
      </c>
      <c r="E268" s="48" t="s">
        <v>158</v>
      </c>
      <c r="F268" s="48">
        <v>34</v>
      </c>
      <c r="G268" s="55">
        <v>15605198823</v>
      </c>
      <c r="H268" s="50">
        <v>45645</v>
      </c>
      <c r="I268" s="50"/>
      <c r="J268" s="18" t="s">
        <v>22</v>
      </c>
      <c r="K268" s="48" t="s">
        <v>110</v>
      </c>
      <c r="L268" s="25" t="str">
        <f ca="1" t="shared" si="40"/>
        <v>1年3个月</v>
      </c>
    </row>
    <row r="269" spans="1:256">
      <c r="C269" s="18" t="s">
        <v>719</v>
      </c>
      <c r="D269" s="213" t="s">
        <v>720</v>
      </c>
      <c r="E269" s="18" t="s">
        <v>158</v>
      </c>
      <c r="F269" s="18">
        <v>36</v>
      </c>
      <c r="G269" s="18">
        <v>18261907375</v>
      </c>
      <c r="H269" s="66">
        <v>45650</v>
      </c>
      <c r="I269" s="8"/>
      <c r="J269" s="18" t="s">
        <v>22</v>
      </c>
      <c r="K269" s="18" t="s">
        <v>716</v>
      </c>
      <c r="L269" s="25" t="str">
        <f ca="1" t="shared" si="40"/>
        <v>1年3个月</v>
      </c>
    </row>
    <row r="270" s="8" customFormat="1" ht="15" customHeight="1" spans="1:256">
      <c r="A270" s="24">
        <v>94</v>
      </c>
      <c r="B270" s="47" t="s">
        <v>202</v>
      </c>
      <c r="C270" s="18" t="s">
        <v>721</v>
      </c>
      <c r="D270" s="213" t="s">
        <v>722</v>
      </c>
      <c r="E270" s="18" t="s">
        <v>158</v>
      </c>
      <c r="F270" s="18">
        <v>43</v>
      </c>
      <c r="G270" s="18">
        <v>15365688282</v>
      </c>
      <c r="H270" s="118">
        <v>45657</v>
      </c>
      <c r="J270" s="18" t="s">
        <v>22</v>
      </c>
      <c r="M270" s="8" t="s">
        <v>723</v>
      </c>
    </row>
    <row r="271" s="8" customFormat="1" ht="15" customHeight="1" spans="1:256">
      <c r="A271" s="24">
        <v>95</v>
      </c>
      <c r="B271" s="47" t="s">
        <v>155</v>
      </c>
      <c r="C271" s="18" t="s">
        <v>724</v>
      </c>
      <c r="D271" s="213" t="s">
        <v>725</v>
      </c>
      <c r="E271" s="18" t="s">
        <v>152</v>
      </c>
      <c r="F271" s="18">
        <v>41</v>
      </c>
      <c r="G271" s="18">
        <v>13914606859</v>
      </c>
      <c r="H271" s="66">
        <v>45660</v>
      </c>
      <c r="I271" s="18"/>
      <c r="J271" s="18" t="s">
        <v>22</v>
      </c>
      <c r="K271" s="18"/>
      <c r="L271" s="18"/>
      <c r="M271" s="48"/>
      <c r="O271" s="48"/>
      <c r="P271" s="48"/>
      <c r="Q271" s="48"/>
    </row>
    <row r="272" customFormat="1" ht="15" customHeight="1" spans="1:256">
      <c r="A272" s="24">
        <v>93</v>
      </c>
      <c r="B272" s="47" t="s">
        <v>697</v>
      </c>
      <c r="C272" s="18" t="s">
        <v>726</v>
      </c>
      <c r="D272" s="213" t="s">
        <v>727</v>
      </c>
      <c r="E272" s="18" t="s">
        <v>158</v>
      </c>
      <c r="F272" s="18">
        <v>44</v>
      </c>
      <c r="G272" s="18">
        <v>15722570115</v>
      </c>
      <c r="H272" s="66">
        <v>45636</v>
      </c>
      <c r="I272" s="18"/>
      <c r="J272" s="18" t="s">
        <v>22</v>
      </c>
      <c r="K272" s="18" t="s">
        <v>728</v>
      </c>
      <c r="M272" s="25"/>
      <c r="N272" s="8"/>
      <c r="O272" s="8"/>
      <c r="P272" s="8"/>
      <c r="Q272" s="8"/>
      <c r="R272" s="119"/>
      <c r="S272" s="119"/>
      <c r="T272" s="120"/>
    </row>
    <row r="273" s="9" customFormat="1" ht="15" customHeight="1" spans="1:256">
      <c r="A273" s="24">
        <v>95</v>
      </c>
      <c r="B273" s="47" t="s">
        <v>729</v>
      </c>
      <c r="C273" s="48" t="s">
        <v>730</v>
      </c>
      <c r="D273" s="226" t="s">
        <v>731</v>
      </c>
      <c r="E273" s="48" t="s">
        <v>152</v>
      </c>
      <c r="F273" s="48">
        <v>45</v>
      </c>
      <c r="G273" s="55">
        <v>13485215191</v>
      </c>
      <c r="H273" s="122">
        <v>45671</v>
      </c>
      <c r="I273" s="123"/>
      <c r="J273" s="48" t="s">
        <v>22</v>
      </c>
      <c r="K273" s="48" t="s">
        <v>561</v>
      </c>
      <c r="L273" s="25" t="str">
        <f ca="1" t="shared" ref="L273:L276" si="41">DATEDIF(H273,TODAY(),"Y")&amp;"年"&amp;DATEDIF(H273,TODAY(),"YM")&amp;"个月"</f>
        <v>1年2个月</v>
      </c>
      <c r="Q273" s="48"/>
      <c r="R273" s="48"/>
      <c r="S273" s="48"/>
      <c r="T273" s="48"/>
    </row>
    <row r="274" s="6" customFormat="1" ht="15" customHeight="1" spans="1:256">
      <c r="A274" s="24">
        <v>80</v>
      </c>
      <c r="B274" s="48" t="s">
        <v>732</v>
      </c>
      <c r="C274" s="18" t="s">
        <v>733</v>
      </c>
      <c r="D274" s="213" t="s">
        <v>734</v>
      </c>
      <c r="E274" s="18" t="s">
        <v>158</v>
      </c>
      <c r="F274" s="18">
        <v>29</v>
      </c>
      <c r="G274" s="213" t="s">
        <v>735</v>
      </c>
      <c r="H274" s="66">
        <v>45460</v>
      </c>
      <c r="I274" s="8"/>
      <c r="J274" s="18" t="s">
        <v>22</v>
      </c>
      <c r="K274" s="18" t="s">
        <v>736</v>
      </c>
      <c r="L274" s="25" t="str">
        <f ca="1" t="shared" si="41"/>
        <v>1年9个月</v>
      </c>
      <c r="M274" s="48"/>
      <c r="N274" s="48"/>
      <c r="O274" s="98"/>
      <c r="P274" s="48"/>
      <c r="R274" s="48"/>
      <c r="S274" s="48"/>
      <c r="T274" s="48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M274" s="9"/>
      <c r="DN274" s="9"/>
      <c r="DO274" s="9"/>
      <c r="DP274" s="9"/>
      <c r="DQ274" s="9"/>
      <c r="DR274" s="9"/>
      <c r="DS274" s="9"/>
      <c r="DT274" s="9"/>
      <c r="DU274" s="9"/>
      <c r="DV274" s="9"/>
      <c r="DW274" s="9"/>
      <c r="DX274" s="9"/>
      <c r="DY274" s="9"/>
      <c r="DZ274" s="9"/>
      <c r="EA274" s="9"/>
      <c r="EB274" s="9"/>
      <c r="EC274" s="9"/>
      <c r="ED274" s="9"/>
      <c r="EE274" s="9"/>
      <c r="EF274" s="9"/>
      <c r="EG274" s="9"/>
      <c r="EH274" s="9"/>
      <c r="EI274" s="9"/>
      <c r="EJ274" s="9"/>
      <c r="EK274" s="9"/>
      <c r="EL274" s="9"/>
      <c r="EM274" s="9"/>
      <c r="EN274" s="9"/>
      <c r="EO274" s="9"/>
      <c r="EP274" s="9"/>
      <c r="EQ274" s="9"/>
      <c r="ER274" s="9"/>
      <c r="ES274" s="9"/>
      <c r="ET274" s="9"/>
      <c r="EU274" s="9"/>
      <c r="EV274" s="9"/>
      <c r="EW274" s="9"/>
      <c r="EX274" s="9"/>
      <c r="EY274" s="9"/>
      <c r="EZ274" s="9"/>
      <c r="FA274" s="9"/>
      <c r="FB274" s="9"/>
      <c r="FC274" s="9"/>
      <c r="FD274" s="9"/>
      <c r="FE274" s="9"/>
      <c r="FF274" s="9"/>
      <c r="FG274" s="9"/>
      <c r="FH274" s="9"/>
      <c r="FI274" s="9"/>
      <c r="FJ274" s="9"/>
      <c r="FK274" s="9"/>
      <c r="FL274" s="9"/>
      <c r="FM274" s="9"/>
      <c r="FN274" s="9"/>
      <c r="FO274" s="9"/>
      <c r="FP274" s="9"/>
      <c r="FQ274" s="9"/>
      <c r="FR274" s="9"/>
      <c r="FS274" s="9"/>
      <c r="FT274" s="9"/>
      <c r="FU274" s="9"/>
      <c r="FV274" s="9"/>
      <c r="FW274" s="9"/>
      <c r="FX274" s="9"/>
      <c r="FY274" s="9"/>
      <c r="FZ274" s="9"/>
      <c r="GA274" s="9"/>
      <c r="GB274" s="9"/>
      <c r="GC274" s="9"/>
      <c r="GD274" s="9"/>
      <c r="GE274" s="9"/>
      <c r="GF274" s="9"/>
      <c r="GG274" s="9"/>
      <c r="GH274" s="9"/>
      <c r="GI274" s="9"/>
      <c r="GJ274" s="9"/>
      <c r="GK274" s="9"/>
      <c r="GL274" s="9"/>
      <c r="GM274" s="9"/>
      <c r="GN274" s="9"/>
      <c r="GO274" s="9"/>
      <c r="GP274" s="9"/>
      <c r="GQ274" s="9"/>
      <c r="GR274" s="9"/>
      <c r="GS274" s="9"/>
      <c r="GT274" s="9"/>
      <c r="GU274" s="9"/>
      <c r="GV274" s="9"/>
      <c r="GW274" s="9"/>
      <c r="GX274" s="9"/>
      <c r="GY274" s="9"/>
      <c r="GZ274" s="9"/>
      <c r="HA274" s="9"/>
      <c r="HB274" s="9"/>
      <c r="HC274" s="9"/>
      <c r="HD274" s="9"/>
      <c r="HE274" s="9"/>
      <c r="HF274" s="9"/>
      <c r="HG274" s="9"/>
      <c r="HH274" s="9"/>
      <c r="HI274" s="9"/>
      <c r="HJ274" s="9"/>
      <c r="HK274" s="9"/>
      <c r="HL274" s="9"/>
      <c r="HM274" s="9"/>
      <c r="HN274" s="9"/>
      <c r="HO274" s="9"/>
      <c r="HP274" s="9"/>
      <c r="HQ274" s="9"/>
      <c r="HR274" s="9"/>
      <c r="HS274" s="9"/>
      <c r="HT274" s="9"/>
      <c r="HU274" s="9"/>
      <c r="HV274" s="9"/>
      <c r="HW274" s="9"/>
      <c r="HX274" s="9"/>
      <c r="HY274" s="9"/>
      <c r="HZ274" s="9"/>
      <c r="IA274" s="9"/>
      <c r="IB274" s="9"/>
      <c r="IC274" s="9"/>
      <c r="ID274" s="9"/>
      <c r="IE274" s="9"/>
      <c r="IF274" s="9"/>
      <c r="IG274" s="9"/>
      <c r="IH274" s="9"/>
      <c r="II274" s="9"/>
      <c r="IJ274" s="9"/>
      <c r="IK274" s="9"/>
      <c r="IL274" s="9"/>
      <c r="IM274" s="9"/>
      <c r="IN274" s="9"/>
      <c r="IO274" s="9"/>
      <c r="IP274" s="9"/>
      <c r="IQ274" s="9"/>
      <c r="IR274" s="9"/>
      <c r="IS274" s="9"/>
      <c r="IT274" s="9"/>
      <c r="IU274" s="9"/>
      <c r="IV274" s="9"/>
    </row>
    <row r="275" s="6" customFormat="1" ht="15" customHeight="1" spans="1:256">
      <c r="A275" s="24">
        <v>74</v>
      </c>
      <c r="B275" s="48" t="s">
        <v>294</v>
      </c>
      <c r="C275" s="48" t="s">
        <v>737</v>
      </c>
      <c r="D275" s="210" t="s">
        <v>738</v>
      </c>
      <c r="E275" s="48" t="s">
        <v>152</v>
      </c>
      <c r="F275" s="48">
        <v>36</v>
      </c>
      <c r="G275" s="48">
        <v>18262378971</v>
      </c>
      <c r="H275" s="54">
        <v>45401</v>
      </c>
      <c r="I275" s="60"/>
      <c r="J275" s="48" t="s">
        <v>22</v>
      </c>
      <c r="K275" s="25" t="s">
        <v>100</v>
      </c>
      <c r="L275" s="25" t="str">
        <f ca="1" t="shared" si="41"/>
        <v>1年11个月</v>
      </c>
      <c r="M275" s="60"/>
      <c r="N275" s="60"/>
      <c r="O275" s="60"/>
      <c r="P275" s="48" t="s">
        <v>396</v>
      </c>
      <c r="Q275" s="48" t="s">
        <v>111</v>
      </c>
      <c r="R275" s="48" t="s">
        <v>397</v>
      </c>
      <c r="T275" s="60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  <c r="DC275" s="9"/>
      <c r="DD275" s="9"/>
      <c r="DE275" s="9"/>
      <c r="DF275" s="9"/>
      <c r="DG275" s="9"/>
      <c r="DH275" s="9"/>
      <c r="DI275" s="9"/>
      <c r="DJ275" s="9"/>
      <c r="DK275" s="9"/>
      <c r="DL275" s="9"/>
      <c r="DM275" s="9"/>
      <c r="DN275" s="9"/>
      <c r="DO275" s="9"/>
      <c r="DP275" s="9"/>
      <c r="DQ275" s="9"/>
      <c r="DR275" s="9"/>
      <c r="DS275" s="9"/>
      <c r="DT275" s="9"/>
      <c r="DU275" s="9"/>
      <c r="DV275" s="9"/>
      <c r="DW275" s="9"/>
      <c r="DX275" s="9"/>
      <c r="DY275" s="9"/>
      <c r="DZ275" s="9"/>
      <c r="EA275" s="9"/>
      <c r="EB275" s="9"/>
      <c r="EC275" s="9"/>
      <c r="ED275" s="9"/>
      <c r="EE275" s="9"/>
      <c r="EF275" s="9"/>
      <c r="EG275" s="9"/>
      <c r="EH275" s="9"/>
      <c r="EI275" s="9"/>
      <c r="EJ275" s="9"/>
      <c r="EK275" s="9"/>
      <c r="EL275" s="9"/>
      <c r="EM275" s="9"/>
      <c r="EN275" s="9"/>
      <c r="EO275" s="9"/>
      <c r="EP275" s="9"/>
      <c r="EQ275" s="9"/>
      <c r="ER275" s="9"/>
      <c r="ES275" s="9"/>
      <c r="ET275" s="9"/>
      <c r="EU275" s="9"/>
      <c r="EV275" s="9"/>
      <c r="EW275" s="9"/>
      <c r="EX275" s="9"/>
      <c r="EY275" s="9"/>
      <c r="EZ275" s="9"/>
      <c r="FA275" s="9"/>
      <c r="FB275" s="9"/>
      <c r="FC275" s="9"/>
      <c r="FD275" s="9"/>
      <c r="FE275" s="9"/>
      <c r="FF275" s="9"/>
      <c r="FG275" s="9"/>
      <c r="FH275" s="9"/>
      <c r="FI275" s="9"/>
      <c r="FJ275" s="9"/>
      <c r="FK275" s="9"/>
      <c r="FL275" s="9"/>
      <c r="FM275" s="9"/>
      <c r="FN275" s="9"/>
      <c r="FO275" s="9"/>
      <c r="FP275" s="9"/>
      <c r="FQ275" s="9"/>
      <c r="FR275" s="9"/>
      <c r="FS275" s="9"/>
      <c r="FT275" s="9"/>
      <c r="FU275" s="9"/>
      <c r="FV275" s="9"/>
      <c r="FW275" s="9"/>
      <c r="FX275" s="9"/>
      <c r="FY275" s="9"/>
      <c r="FZ275" s="9"/>
      <c r="GA275" s="9"/>
      <c r="GB275" s="9"/>
      <c r="GC275" s="9"/>
      <c r="GD275" s="9"/>
      <c r="GE275" s="9"/>
      <c r="GF275" s="9"/>
      <c r="GG275" s="9"/>
      <c r="GH275" s="9"/>
      <c r="GI275" s="9"/>
      <c r="GJ275" s="9"/>
      <c r="GK275" s="9"/>
      <c r="GL275" s="9"/>
      <c r="GM275" s="9"/>
      <c r="GN275" s="9"/>
      <c r="GO275" s="9"/>
      <c r="GP275" s="9"/>
      <c r="GQ275" s="9"/>
      <c r="GR275" s="9"/>
      <c r="GS275" s="9"/>
      <c r="GT275" s="9"/>
      <c r="GU275" s="9"/>
      <c r="GV275" s="9"/>
      <c r="GW275" s="9"/>
      <c r="GX275" s="9"/>
      <c r="GY275" s="9"/>
      <c r="GZ275" s="9"/>
      <c r="HA275" s="9"/>
      <c r="HB275" s="9"/>
      <c r="HC275" s="9"/>
      <c r="HD275" s="9"/>
      <c r="HE275" s="9"/>
      <c r="HF275" s="9"/>
      <c r="HG275" s="9"/>
      <c r="HH275" s="9"/>
      <c r="HI275" s="9"/>
      <c r="HJ275" s="9"/>
      <c r="HK275" s="9"/>
      <c r="HL275" s="9"/>
      <c r="HM275" s="9"/>
      <c r="HN275" s="9"/>
      <c r="HO275" s="9"/>
      <c r="HP275" s="9"/>
      <c r="HQ275" s="9"/>
      <c r="HR275" s="9"/>
      <c r="HS275" s="9"/>
      <c r="HT275" s="9"/>
      <c r="HU275" s="9"/>
      <c r="HV275" s="9"/>
      <c r="HW275" s="9"/>
      <c r="HX275" s="9"/>
      <c r="HY275" s="9"/>
      <c r="HZ275" s="9"/>
      <c r="IA275" s="9"/>
      <c r="IB275" s="9"/>
      <c r="IC275" s="9"/>
      <c r="ID275" s="9"/>
      <c r="IE275" s="9"/>
      <c r="IF275" s="9"/>
      <c r="IG275" s="9"/>
      <c r="IH275" s="9"/>
      <c r="II275" s="9"/>
      <c r="IJ275" s="9"/>
      <c r="IK275" s="9"/>
      <c r="IL275" s="9"/>
      <c r="IM275" s="9"/>
      <c r="IN275" s="9"/>
      <c r="IO275" s="9"/>
      <c r="IP275" s="9"/>
      <c r="IQ275" s="9"/>
      <c r="IR275" s="9"/>
      <c r="IS275" s="9"/>
      <c r="IT275" s="9"/>
      <c r="IU275" s="9"/>
      <c r="IV275" s="9"/>
    </row>
    <row r="276" customFormat="1" ht="15" customHeight="1" spans="1:256">
      <c r="A276" s="103">
        <v>97</v>
      </c>
      <c r="B276" s="47" t="s">
        <v>739</v>
      </c>
      <c r="C276" s="109" t="s">
        <v>740</v>
      </c>
      <c r="D276" s="224" t="s">
        <v>741</v>
      </c>
      <c r="E276" s="109" t="s">
        <v>152</v>
      </c>
      <c r="F276" s="109">
        <v>48</v>
      </c>
      <c r="G276" s="109">
        <v>15195151190</v>
      </c>
      <c r="H276" s="110">
        <v>45694</v>
      </c>
      <c r="I276" s="124"/>
      <c r="J276" s="125" t="s">
        <v>22</v>
      </c>
      <c r="K276" s="124" t="s">
        <v>742</v>
      </c>
      <c r="L276" s="47" t="str">
        <f ca="1" t="shared" si="41"/>
        <v>1年2个月</v>
      </c>
      <c r="M276" s="107"/>
      <c r="N276" s="107"/>
      <c r="O276" s="107"/>
      <c r="Q276" s="107"/>
      <c r="R276" s="107"/>
      <c r="S276" s="107"/>
      <c r="T276" s="107"/>
    </row>
    <row r="277" customFormat="1" ht="15" customHeight="1" spans="1:256">
      <c r="A277" s="103">
        <v>102</v>
      </c>
      <c r="B277" s="47" t="s">
        <v>743</v>
      </c>
      <c r="C277" s="126" t="s">
        <v>744</v>
      </c>
      <c r="D277" s="227" t="s">
        <v>745</v>
      </c>
      <c r="E277" s="126" t="s">
        <v>152</v>
      </c>
      <c r="F277" s="127">
        <v>39</v>
      </c>
      <c r="G277" s="127">
        <v>19051947989</v>
      </c>
      <c r="H277" s="128">
        <v>45700</v>
      </c>
      <c r="I277" s="129"/>
      <c r="J277" s="47" t="s">
        <v>22</v>
      </c>
      <c r="K277" s="47" t="s">
        <v>100</v>
      </c>
      <c r="L277" s="10"/>
      <c r="M277" s="10"/>
      <c r="N277" s="10"/>
      <c r="O277" s="10"/>
      <c r="Q277" s="8"/>
      <c r="R277" s="8"/>
      <c r="S277" s="8"/>
      <c r="T277" s="8"/>
    </row>
    <row r="278" s="5" customFormat="1" ht="15" customHeight="1" spans="1:256">
      <c r="A278" s="24">
        <v>42</v>
      </c>
      <c r="B278" s="25" t="s">
        <v>746</v>
      </c>
      <c r="C278" s="25" t="s">
        <v>747</v>
      </c>
      <c r="D278" s="205" t="s">
        <v>748</v>
      </c>
      <c r="E278" s="25" t="str">
        <f>IF(MOD(MID(D278,17,1),2),"男","女")</f>
        <v>女</v>
      </c>
      <c r="F278" s="24">
        <f ca="1">YEAR(NOW())-MID(D278,7,4)</f>
        <v>60</v>
      </c>
      <c r="G278" s="28" t="s">
        <v>749</v>
      </c>
      <c r="H278" s="27">
        <v>44669</v>
      </c>
      <c r="I278" s="27"/>
      <c r="J278" s="25" t="s">
        <v>65</v>
      </c>
      <c r="K278" s="25" t="s">
        <v>750</v>
      </c>
      <c r="L278" s="25" t="str">
        <f ca="1">DATEDIF(H278,TODAY(),"Y")&amp;"年"&amp;DATEDIF(H278,TODAY(),"YM")&amp;"个月"</f>
        <v>3年11个月</v>
      </c>
      <c r="M278" s="25" t="s">
        <v>154</v>
      </c>
      <c r="N278" s="24"/>
      <c r="O278" s="43" t="s">
        <v>303</v>
      </c>
      <c r="P278" s="29" t="s">
        <v>101</v>
      </c>
      <c r="Q278" s="41" t="s">
        <v>102</v>
      </c>
      <c r="S278" s="42"/>
      <c r="T278" s="42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  <c r="CB278" s="15"/>
      <c r="CC278" s="15"/>
      <c r="CD278" s="15"/>
      <c r="CE278" s="15"/>
      <c r="CF278" s="15"/>
      <c r="CG278" s="15"/>
      <c r="CH278" s="15"/>
      <c r="CI278" s="15"/>
      <c r="CJ278" s="15"/>
      <c r="CK278" s="15"/>
      <c r="CL278" s="15"/>
      <c r="CM278" s="15"/>
      <c r="CN278" s="15"/>
      <c r="CO278" s="15"/>
      <c r="CP278" s="15"/>
      <c r="CQ278" s="15"/>
      <c r="CR278" s="15"/>
      <c r="CS278" s="15"/>
      <c r="CT278" s="15"/>
      <c r="CU278" s="15"/>
      <c r="CV278" s="15"/>
      <c r="CW278" s="15"/>
      <c r="CX278" s="15"/>
      <c r="CY278" s="15"/>
      <c r="CZ278" s="15"/>
      <c r="DA278" s="15"/>
      <c r="DB278" s="15"/>
      <c r="DC278" s="15"/>
      <c r="DD278" s="15"/>
      <c r="DE278" s="15"/>
      <c r="DF278" s="15"/>
      <c r="DG278" s="15"/>
      <c r="DH278" s="15"/>
      <c r="DI278" s="15"/>
      <c r="DJ278" s="15"/>
      <c r="DK278" s="15"/>
      <c r="DL278" s="15"/>
      <c r="DM278" s="15"/>
      <c r="DN278" s="15"/>
      <c r="DO278" s="15"/>
      <c r="DP278" s="15"/>
      <c r="DQ278" s="15"/>
      <c r="DR278" s="15"/>
      <c r="DS278" s="15"/>
      <c r="DT278" s="15"/>
      <c r="DU278" s="15"/>
      <c r="DV278" s="15"/>
      <c r="DW278" s="15"/>
      <c r="DX278" s="15"/>
      <c r="DY278" s="15"/>
      <c r="DZ278" s="15"/>
      <c r="EA278" s="15"/>
      <c r="EB278" s="15"/>
      <c r="EC278" s="15"/>
      <c r="ED278" s="15"/>
      <c r="EE278" s="15"/>
      <c r="EF278" s="15"/>
      <c r="EG278" s="15"/>
      <c r="EH278" s="15"/>
      <c r="EI278" s="15"/>
      <c r="EJ278" s="15"/>
      <c r="EK278" s="15"/>
      <c r="EL278" s="15"/>
      <c r="EM278" s="15"/>
      <c r="EN278" s="15"/>
      <c r="EO278" s="15"/>
      <c r="EP278" s="15"/>
      <c r="EQ278" s="15"/>
      <c r="ER278" s="15"/>
      <c r="ES278" s="15"/>
      <c r="ET278" s="15"/>
      <c r="EU278" s="15"/>
      <c r="EV278" s="15"/>
      <c r="EW278" s="15"/>
      <c r="EX278" s="15"/>
      <c r="EY278" s="15"/>
      <c r="EZ278" s="15"/>
      <c r="FA278" s="15"/>
      <c r="FB278" s="15"/>
      <c r="FC278" s="15"/>
      <c r="FD278" s="15"/>
      <c r="FE278" s="15"/>
      <c r="FF278" s="15"/>
      <c r="FG278" s="15"/>
      <c r="FH278" s="15"/>
      <c r="FI278" s="15"/>
      <c r="FJ278" s="15"/>
      <c r="FK278" s="15"/>
      <c r="FL278" s="15"/>
      <c r="FM278" s="15"/>
      <c r="FN278" s="15"/>
      <c r="FO278" s="15"/>
      <c r="FP278" s="15"/>
      <c r="FQ278" s="15"/>
      <c r="FR278" s="15"/>
      <c r="FS278" s="15"/>
      <c r="FT278" s="15"/>
      <c r="FU278" s="15"/>
      <c r="FV278" s="15"/>
      <c r="FW278" s="15"/>
      <c r="FX278" s="15"/>
      <c r="FY278" s="15"/>
      <c r="FZ278" s="15"/>
      <c r="GA278" s="15"/>
      <c r="GB278" s="15"/>
      <c r="GC278" s="15"/>
      <c r="GD278" s="15"/>
      <c r="GE278" s="15"/>
      <c r="GF278" s="15"/>
      <c r="GG278" s="15"/>
      <c r="GH278" s="15"/>
      <c r="GI278" s="15"/>
      <c r="GJ278" s="15"/>
      <c r="GK278" s="15"/>
      <c r="GL278" s="15"/>
      <c r="GM278" s="15"/>
      <c r="GN278" s="15"/>
      <c r="GO278" s="15"/>
      <c r="GP278" s="15"/>
      <c r="GQ278" s="15"/>
      <c r="GR278" s="15"/>
      <c r="GS278" s="15"/>
      <c r="GT278" s="15"/>
      <c r="GU278" s="15"/>
      <c r="GV278" s="15"/>
      <c r="GW278" s="15"/>
      <c r="GX278" s="15"/>
      <c r="GY278" s="15"/>
      <c r="GZ278" s="15"/>
      <c r="HA278" s="15"/>
      <c r="HB278" s="15"/>
      <c r="HC278" s="15"/>
      <c r="HD278" s="15"/>
      <c r="HE278" s="15"/>
      <c r="HF278" s="15"/>
      <c r="HG278" s="15"/>
      <c r="HH278" s="15"/>
      <c r="HI278" s="15"/>
      <c r="HJ278" s="15"/>
      <c r="HK278" s="15"/>
      <c r="HL278" s="15"/>
      <c r="HM278" s="15"/>
      <c r="HN278" s="15"/>
      <c r="HO278" s="15"/>
      <c r="HP278" s="15"/>
      <c r="HQ278" s="15"/>
      <c r="HR278" s="15"/>
      <c r="HS278" s="15"/>
      <c r="HT278" s="15"/>
      <c r="HU278" s="15"/>
      <c r="HV278" s="15"/>
      <c r="HW278" s="15"/>
      <c r="HX278" s="15"/>
      <c r="HY278" s="15"/>
      <c r="HZ278" s="15"/>
      <c r="IA278" s="15"/>
      <c r="IB278" s="15"/>
      <c r="IC278" s="15"/>
      <c r="ID278" s="15"/>
      <c r="IE278" s="15"/>
      <c r="IF278" s="15"/>
      <c r="IG278" s="15"/>
      <c r="IH278" s="15"/>
      <c r="II278" s="15"/>
      <c r="IJ278" s="15"/>
      <c r="IK278" s="15"/>
      <c r="IL278" s="15"/>
      <c r="IM278" s="15"/>
      <c r="IN278" s="15"/>
      <c r="IO278" s="15"/>
      <c r="IP278" s="15"/>
      <c r="IQ278" s="15"/>
      <c r="IR278" s="15"/>
      <c r="IS278" s="15"/>
      <c r="IT278" s="15"/>
      <c r="IU278" s="15"/>
      <c r="IV278" s="15"/>
    </row>
    <row r="279" s="6" customFormat="1" ht="15" customHeight="1" spans="1:256">
      <c r="A279" s="24">
        <v>67</v>
      </c>
      <c r="B279" s="48" t="s">
        <v>124</v>
      </c>
      <c r="C279" s="61" t="s">
        <v>751</v>
      </c>
      <c r="D279" s="213" t="s">
        <v>752</v>
      </c>
      <c r="E279" s="18" t="s">
        <v>158</v>
      </c>
      <c r="F279" s="18">
        <v>23</v>
      </c>
      <c r="G279" s="18">
        <v>19512414938</v>
      </c>
      <c r="H279" s="66">
        <v>45349</v>
      </c>
      <c r="I279" s="8"/>
      <c r="J279" s="8"/>
      <c r="K279" s="8"/>
      <c r="L279" s="47" t="str">
        <f ca="1">DATEDIF(H279,TODAY(),"Y")&amp;"年"&amp;DATEDIF(H279,TODAY(),"YM")&amp;"个月"</f>
        <v>2年1个月</v>
      </c>
      <c r="M279" s="18" t="s">
        <v>154</v>
      </c>
      <c r="N279" s="48"/>
      <c r="O279" s="52"/>
      <c r="P279" s="30" t="s">
        <v>358</v>
      </c>
      <c r="Q279" s="46" t="s">
        <v>111</v>
      </c>
      <c r="R279" s="42" t="s">
        <v>397</v>
      </c>
      <c r="S279" s="42" t="s">
        <v>111</v>
      </c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/>
      <c r="DC279" s="9"/>
      <c r="DD279" s="9"/>
      <c r="DE279" s="9"/>
      <c r="DF279" s="9"/>
      <c r="DG279" s="9"/>
      <c r="DH279" s="9"/>
      <c r="DI279" s="9"/>
      <c r="DJ279" s="9"/>
      <c r="DK279" s="9"/>
      <c r="DL279" s="9"/>
      <c r="DM279" s="9"/>
      <c r="DN279" s="9"/>
      <c r="DO279" s="9"/>
      <c r="DP279" s="9"/>
      <c r="DQ279" s="9"/>
      <c r="DR279" s="9"/>
      <c r="DS279" s="9"/>
      <c r="DT279" s="9"/>
      <c r="DU279" s="9"/>
      <c r="DV279" s="9"/>
      <c r="DW279" s="9"/>
      <c r="DX279" s="9"/>
      <c r="DY279" s="9"/>
      <c r="DZ279" s="9"/>
      <c r="EA279" s="9"/>
      <c r="EB279" s="9"/>
      <c r="EC279" s="9"/>
      <c r="ED279" s="9"/>
      <c r="EE279" s="9"/>
      <c r="EF279" s="9"/>
      <c r="EG279" s="9"/>
      <c r="EH279" s="9"/>
      <c r="EI279" s="9"/>
      <c r="EJ279" s="9"/>
      <c r="EK279" s="9"/>
      <c r="EL279" s="9"/>
      <c r="EM279" s="9"/>
      <c r="EN279" s="9"/>
      <c r="EO279" s="9"/>
      <c r="EP279" s="9"/>
      <c r="EQ279" s="9"/>
      <c r="ER279" s="9"/>
      <c r="ES279" s="9"/>
      <c r="ET279" s="9"/>
      <c r="EU279" s="9"/>
      <c r="EV279" s="9"/>
      <c r="EW279" s="9"/>
      <c r="EX279" s="9"/>
      <c r="EY279" s="9"/>
      <c r="EZ279" s="9"/>
      <c r="FA279" s="9"/>
      <c r="FB279" s="9"/>
      <c r="FC279" s="9"/>
      <c r="FD279" s="9"/>
      <c r="FE279" s="9"/>
      <c r="FF279" s="9"/>
      <c r="FG279" s="9"/>
      <c r="FH279" s="9"/>
      <c r="FI279" s="9"/>
      <c r="FJ279" s="9"/>
      <c r="FK279" s="9"/>
      <c r="FL279" s="9"/>
      <c r="FM279" s="9"/>
      <c r="FN279" s="9"/>
      <c r="FO279" s="9"/>
      <c r="FP279" s="9"/>
      <c r="FQ279" s="9"/>
      <c r="FR279" s="9"/>
      <c r="FS279" s="9"/>
      <c r="FT279" s="9"/>
      <c r="FU279" s="9"/>
      <c r="FV279" s="9"/>
      <c r="FW279" s="9"/>
      <c r="FX279" s="9"/>
      <c r="FY279" s="9"/>
      <c r="FZ279" s="9"/>
      <c r="GA279" s="9"/>
      <c r="GB279" s="9"/>
      <c r="GC279" s="9"/>
      <c r="GD279" s="9"/>
      <c r="GE279" s="9"/>
      <c r="GF279" s="9"/>
      <c r="GG279" s="9"/>
      <c r="GH279" s="9"/>
      <c r="GI279" s="9"/>
      <c r="GJ279" s="9"/>
      <c r="GK279" s="9"/>
      <c r="GL279" s="9"/>
      <c r="GM279" s="9"/>
      <c r="GN279" s="9"/>
      <c r="GO279" s="9"/>
      <c r="GP279" s="9"/>
      <c r="GQ279" s="9"/>
      <c r="GR279" s="9"/>
      <c r="GS279" s="9"/>
      <c r="GT279" s="9"/>
      <c r="GU279" s="9"/>
      <c r="GV279" s="9"/>
      <c r="GW279" s="9"/>
      <c r="GX279" s="9"/>
      <c r="GY279" s="9"/>
      <c r="GZ279" s="9"/>
      <c r="HA279" s="9"/>
      <c r="HB279" s="9"/>
      <c r="HC279" s="9"/>
      <c r="HD279" s="9"/>
      <c r="HE279" s="9"/>
      <c r="HF279" s="9"/>
      <c r="HG279" s="9"/>
      <c r="HH279" s="9"/>
      <c r="HI279" s="9"/>
      <c r="HJ279" s="9"/>
      <c r="HK279" s="9"/>
      <c r="HL279" s="9"/>
      <c r="HM279" s="9"/>
      <c r="HN279" s="9"/>
      <c r="HO279" s="9"/>
      <c r="HP279" s="9"/>
      <c r="HQ279" s="9"/>
      <c r="HR279" s="9"/>
      <c r="HS279" s="9"/>
      <c r="HT279" s="9"/>
      <c r="HU279" s="9"/>
      <c r="HV279" s="9"/>
      <c r="HW279" s="9"/>
      <c r="HX279" s="9"/>
      <c r="HY279" s="9"/>
      <c r="HZ279" s="9"/>
      <c r="IA279" s="9"/>
      <c r="IB279" s="9"/>
      <c r="IC279" s="9"/>
      <c r="ID279" s="9"/>
      <c r="IE279" s="9"/>
      <c r="IF279" s="9"/>
      <c r="IG279" s="9"/>
      <c r="IH279" s="9"/>
      <c r="II279" s="9"/>
      <c r="IJ279" s="9"/>
      <c r="IK279" s="9"/>
      <c r="IL279" s="9"/>
      <c r="IM279" s="9"/>
      <c r="IN279" s="9"/>
      <c r="IO279" s="9"/>
      <c r="IP279" s="9"/>
      <c r="IQ279" s="9"/>
      <c r="IR279" s="9"/>
      <c r="IS279" s="9"/>
      <c r="IT279" s="9"/>
      <c r="IU279" s="9"/>
      <c r="IV279" s="9"/>
    </row>
    <row r="280" customFormat="1" ht="15" customHeight="1" spans="1:256">
      <c r="A280" s="24">
        <v>105</v>
      </c>
      <c r="B280" s="25" t="s">
        <v>753</v>
      </c>
      <c r="C280" s="30" t="s">
        <v>754</v>
      </c>
      <c r="D280" s="207" t="s">
        <v>755</v>
      </c>
      <c r="E280" s="30" t="s">
        <v>158</v>
      </c>
      <c r="F280" s="130">
        <v>31</v>
      </c>
      <c r="G280" s="18">
        <v>13357992003</v>
      </c>
      <c r="H280" s="66">
        <v>45709</v>
      </c>
      <c r="I280" s="31"/>
      <c r="J280" s="25" t="s">
        <v>65</v>
      </c>
      <c r="K280" s="25" t="s">
        <v>756</v>
      </c>
      <c r="L280" s="8"/>
      <c r="M280" s="8"/>
      <c r="N280" s="8"/>
      <c r="P280" s="8"/>
      <c r="Q280" s="8"/>
      <c r="R280" s="8"/>
      <c r="S280" s="8"/>
      <c r="T280" s="8"/>
    </row>
    <row r="281" customFormat="1" ht="15" customHeight="1" spans="1:256">
      <c r="A281" s="24">
        <v>103</v>
      </c>
      <c r="B281" s="25" t="s">
        <v>757</v>
      </c>
      <c r="C281" s="18" t="s">
        <v>758</v>
      </c>
      <c r="D281" s="207" t="s">
        <v>759</v>
      </c>
      <c r="E281" s="30" t="s">
        <v>158</v>
      </c>
      <c r="F281" s="130">
        <v>47</v>
      </c>
      <c r="G281" s="130">
        <v>15251060206</v>
      </c>
      <c r="H281" s="131">
        <v>45707</v>
      </c>
      <c r="I281" s="31"/>
      <c r="J281" s="25" t="s">
        <v>22</v>
      </c>
      <c r="K281" s="25"/>
      <c r="L281" s="8"/>
      <c r="M281" s="8"/>
      <c r="N281" s="95"/>
      <c r="O281" s="8"/>
      <c r="P281" s="8"/>
      <c r="Q281" s="8"/>
      <c r="R281" s="8"/>
      <c r="S281" s="8"/>
      <c r="T281" s="8"/>
    </row>
    <row r="282" customFormat="1" ht="15" customHeight="1" spans="1:256">
      <c r="A282" s="24">
        <v>104</v>
      </c>
      <c r="B282" s="25" t="s">
        <v>760</v>
      </c>
      <c r="C282" s="30" t="s">
        <v>761</v>
      </c>
      <c r="D282" s="30" t="s">
        <v>762</v>
      </c>
      <c r="E282" s="30" t="s">
        <v>158</v>
      </c>
      <c r="F282" s="130">
        <v>42</v>
      </c>
      <c r="G282" s="130">
        <v>15365682188</v>
      </c>
      <c r="H282" s="131">
        <v>45707</v>
      </c>
      <c r="I282" s="31"/>
      <c r="J282" s="25" t="s">
        <v>22</v>
      </c>
      <c r="K282" s="25"/>
      <c r="L282" s="8"/>
      <c r="M282" s="8"/>
      <c r="N282" s="8"/>
      <c r="O282" s="8"/>
      <c r="P282" s="8"/>
      <c r="Q282" s="8"/>
      <c r="R282" s="8"/>
      <c r="S282" s="8"/>
      <c r="T282" s="8"/>
    </row>
    <row r="283" customFormat="1" ht="15" customHeight="1" spans="1:256">
      <c r="A283" s="132">
        <v>108</v>
      </c>
      <c r="B283" s="133" t="s">
        <v>763</v>
      </c>
      <c r="C283" s="71" t="s">
        <v>764</v>
      </c>
      <c r="D283" s="215" t="s">
        <v>765</v>
      </c>
      <c r="E283" s="71" t="s">
        <v>158</v>
      </c>
      <c r="F283" s="134">
        <v>35</v>
      </c>
      <c r="G283" s="135">
        <v>17851622207</v>
      </c>
      <c r="H283" s="72">
        <v>45714</v>
      </c>
      <c r="I283" s="97"/>
      <c r="J283" s="71" t="s">
        <v>22</v>
      </c>
      <c r="K283" s="71" t="s">
        <v>100</v>
      </c>
      <c r="L283" s="8"/>
      <c r="M283" s="97"/>
      <c r="N283" s="97"/>
      <c r="O283" s="97"/>
      <c r="P283" s="97"/>
      <c r="Q283" s="8"/>
      <c r="R283" s="8"/>
      <c r="S283" s="8"/>
      <c r="T283" s="8"/>
    </row>
    <row r="284" s="10" customFormat="1" ht="15" customHeight="1" spans="1:256">
      <c r="A284" s="103">
        <v>94</v>
      </c>
      <c r="B284" s="47" t="s">
        <v>766</v>
      </c>
      <c r="C284" s="80" t="s">
        <v>767</v>
      </c>
      <c r="D284" s="80" t="s">
        <v>768</v>
      </c>
      <c r="E284" s="80" t="s">
        <v>158</v>
      </c>
      <c r="F284" s="80">
        <v>55</v>
      </c>
      <c r="G284" s="80">
        <v>18914609921</v>
      </c>
      <c r="H284" s="136">
        <v>45670</v>
      </c>
      <c r="I284" s="80"/>
      <c r="J284" s="80" t="s">
        <v>22</v>
      </c>
      <c r="K284" s="80" t="s">
        <v>728</v>
      </c>
      <c r="L284" s="47" t="str">
        <f ca="1" t="shared" ref="L284:L288" si="42">DATEDIF(H284,TODAY(),"Y")&amp;"年"&amp;DATEDIF(H284,TODAY(),"YM")&amp;"个月"</f>
        <v>1年3个月</v>
      </c>
      <c r="M284" s="8"/>
      <c r="N284" s="8"/>
      <c r="O284" s="137"/>
    </row>
    <row r="285" customFormat="1" ht="15" customHeight="1" spans="1:256">
      <c r="A285" s="103">
        <v>98</v>
      </c>
      <c r="B285" s="47" t="s">
        <v>769</v>
      </c>
      <c r="C285" s="18" t="s">
        <v>770</v>
      </c>
      <c r="D285" s="213" t="s">
        <v>771</v>
      </c>
      <c r="E285" s="18" t="s">
        <v>152</v>
      </c>
      <c r="F285" s="18">
        <v>36</v>
      </c>
      <c r="G285" s="18">
        <v>19549265250</v>
      </c>
      <c r="H285" s="66">
        <v>45698</v>
      </c>
      <c r="I285" s="31"/>
      <c r="J285" s="56" t="s">
        <v>22</v>
      </c>
      <c r="K285" s="25" t="s">
        <v>348</v>
      </c>
      <c r="L285" s="8"/>
      <c r="M285" s="8"/>
      <c r="N285" s="8"/>
    </row>
    <row r="286" customFormat="1" ht="15" customHeight="1" spans="1:256">
      <c r="A286" s="103">
        <v>101</v>
      </c>
      <c r="B286" s="47" t="s">
        <v>772</v>
      </c>
      <c r="C286" s="18" t="s">
        <v>773</v>
      </c>
      <c r="D286" s="213" t="s">
        <v>774</v>
      </c>
      <c r="E286" s="18" t="s">
        <v>152</v>
      </c>
      <c r="F286" s="18">
        <v>37</v>
      </c>
      <c r="G286" s="18">
        <v>19281955711</v>
      </c>
      <c r="H286" s="66">
        <v>45700</v>
      </c>
      <c r="I286" s="18"/>
      <c r="J286" s="18" t="s">
        <v>22</v>
      </c>
      <c r="K286" s="18" t="s">
        <v>100</v>
      </c>
      <c r="M286" s="8"/>
      <c r="N286" s="95"/>
      <c r="O286" s="8"/>
      <c r="P286" s="8"/>
      <c r="Q286" s="8"/>
      <c r="R286" s="8"/>
      <c r="S286" s="8"/>
      <c r="T286" s="8"/>
    </row>
    <row r="287" s="6" customFormat="1" ht="15" customHeight="1" spans="1:256">
      <c r="A287" s="24">
        <v>79</v>
      </c>
      <c r="B287" s="48" t="s">
        <v>775</v>
      </c>
      <c r="C287" s="73" t="s">
        <v>776</v>
      </c>
      <c r="D287" s="216" t="s">
        <v>777</v>
      </c>
      <c r="E287" s="73" t="s">
        <v>152</v>
      </c>
      <c r="F287" s="73">
        <v>48</v>
      </c>
      <c r="G287" s="73">
        <v>15861904417</v>
      </c>
      <c r="H287" s="74">
        <v>45440</v>
      </c>
      <c r="I287" s="8"/>
      <c r="J287" s="67" t="s">
        <v>22</v>
      </c>
      <c r="K287" s="71" t="s">
        <v>400</v>
      </c>
      <c r="L287" s="25" t="str">
        <f ca="1" t="shared" si="42"/>
        <v>1年10个月</v>
      </c>
      <c r="M287" s="60"/>
      <c r="N287" s="48"/>
      <c r="O287" s="48"/>
      <c r="P287" s="98" t="s">
        <v>303</v>
      </c>
      <c r="Q287" s="30" t="s">
        <v>358</v>
      </c>
      <c r="R287" s="48"/>
      <c r="S287" s="48"/>
      <c r="T287" s="48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  <c r="DC287" s="9"/>
      <c r="DD287" s="9"/>
      <c r="DE287" s="9"/>
      <c r="DF287" s="9"/>
      <c r="DG287" s="9"/>
      <c r="DH287" s="9"/>
      <c r="DI287" s="9"/>
      <c r="DJ287" s="9"/>
      <c r="DK287" s="9"/>
      <c r="DL287" s="9"/>
      <c r="DM287" s="9"/>
      <c r="DN287" s="9"/>
      <c r="DO287" s="9"/>
      <c r="DP287" s="9"/>
      <c r="DQ287" s="9"/>
      <c r="DR287" s="9"/>
      <c r="DS287" s="9"/>
      <c r="DT287" s="9"/>
      <c r="DU287" s="9"/>
      <c r="DV287" s="9"/>
      <c r="DW287" s="9"/>
      <c r="DX287" s="9"/>
      <c r="DY287" s="9"/>
      <c r="DZ287" s="9"/>
      <c r="EA287" s="9"/>
      <c r="EB287" s="9"/>
      <c r="EC287" s="9"/>
      <c r="ED287" s="9"/>
      <c r="EE287" s="9"/>
      <c r="EF287" s="9"/>
      <c r="EG287" s="9"/>
      <c r="EH287" s="9"/>
      <c r="EI287" s="9"/>
      <c r="EJ287" s="9"/>
      <c r="EK287" s="9"/>
      <c r="EL287" s="9"/>
      <c r="EM287" s="9"/>
      <c r="EN287" s="9"/>
      <c r="EO287" s="9"/>
      <c r="EP287" s="9"/>
      <c r="EQ287" s="9"/>
      <c r="ER287" s="9"/>
      <c r="ES287" s="9"/>
      <c r="ET287" s="9"/>
      <c r="EU287" s="9"/>
      <c r="EV287" s="9"/>
      <c r="EW287" s="9"/>
      <c r="EX287" s="9"/>
      <c r="EY287" s="9"/>
      <c r="EZ287" s="9"/>
      <c r="FA287" s="9"/>
      <c r="FB287" s="9"/>
      <c r="FC287" s="9"/>
      <c r="FD287" s="9"/>
      <c r="FE287" s="9"/>
      <c r="FF287" s="9"/>
      <c r="FG287" s="9"/>
      <c r="FH287" s="9"/>
      <c r="FI287" s="9"/>
      <c r="FJ287" s="9"/>
      <c r="FK287" s="9"/>
      <c r="FL287" s="9"/>
      <c r="FM287" s="9"/>
      <c r="FN287" s="9"/>
      <c r="FO287" s="9"/>
      <c r="FP287" s="9"/>
      <c r="FQ287" s="9"/>
      <c r="FR287" s="9"/>
      <c r="FS287" s="9"/>
      <c r="FT287" s="9"/>
      <c r="FU287" s="9"/>
      <c r="FV287" s="9"/>
      <c r="FW287" s="9"/>
      <c r="FX287" s="9"/>
      <c r="FY287" s="9"/>
      <c r="FZ287" s="9"/>
      <c r="GA287" s="9"/>
      <c r="GB287" s="9"/>
      <c r="GC287" s="9"/>
      <c r="GD287" s="9"/>
      <c r="GE287" s="9"/>
      <c r="GF287" s="9"/>
      <c r="GG287" s="9"/>
      <c r="GH287" s="9"/>
      <c r="GI287" s="9"/>
      <c r="GJ287" s="9"/>
      <c r="GK287" s="9"/>
      <c r="GL287" s="9"/>
      <c r="GM287" s="9"/>
      <c r="GN287" s="9"/>
      <c r="GO287" s="9"/>
      <c r="GP287" s="9"/>
      <c r="GQ287" s="9"/>
      <c r="GR287" s="9"/>
      <c r="GS287" s="9"/>
      <c r="GT287" s="9"/>
      <c r="GU287" s="9"/>
      <c r="GV287" s="9"/>
      <c r="GW287" s="9"/>
      <c r="GX287" s="9"/>
      <c r="GY287" s="9"/>
      <c r="GZ287" s="9"/>
      <c r="HA287" s="9"/>
      <c r="HB287" s="9"/>
      <c r="HC287" s="9"/>
      <c r="HD287" s="9"/>
      <c r="HE287" s="9"/>
      <c r="HF287" s="9"/>
      <c r="HG287" s="9"/>
      <c r="HH287" s="9"/>
      <c r="HI287" s="9"/>
      <c r="HJ287" s="9"/>
      <c r="HK287" s="9"/>
      <c r="HL287" s="9"/>
      <c r="HM287" s="9"/>
      <c r="HN287" s="9"/>
      <c r="HO287" s="9"/>
      <c r="HP287" s="9"/>
      <c r="HQ287" s="9"/>
      <c r="HR287" s="9"/>
      <c r="HS287" s="9"/>
      <c r="HT287" s="9"/>
      <c r="HU287" s="9"/>
      <c r="HV287" s="9"/>
      <c r="HW287" s="9"/>
      <c r="HX287" s="9"/>
      <c r="HY287" s="9"/>
      <c r="HZ287" s="9"/>
      <c r="IA287" s="9"/>
      <c r="IB287" s="9"/>
      <c r="IC287" s="9"/>
      <c r="ID287" s="9"/>
      <c r="IE287" s="9"/>
      <c r="IF287" s="9"/>
      <c r="IG287" s="9"/>
      <c r="IH287" s="9"/>
      <c r="II287" s="9"/>
      <c r="IJ287" s="9"/>
      <c r="IK287" s="9"/>
      <c r="IL287" s="9"/>
      <c r="IM287" s="9"/>
      <c r="IN287" s="9"/>
      <c r="IO287" s="9"/>
      <c r="IP287" s="9"/>
      <c r="IQ287" s="9"/>
      <c r="IR287" s="9"/>
      <c r="IS287" s="9"/>
      <c r="IT287" s="9"/>
      <c r="IU287" s="9"/>
      <c r="IV287" s="9"/>
    </row>
    <row r="288" customFormat="1" ht="15" customHeight="1" spans="1:256">
      <c r="A288" s="24">
        <v>83</v>
      </c>
      <c r="B288" s="25" t="s">
        <v>217</v>
      </c>
      <c r="C288" s="25" t="s">
        <v>778</v>
      </c>
      <c r="D288" s="205" t="s">
        <v>779</v>
      </c>
      <c r="E288" s="25" t="s">
        <v>158</v>
      </c>
      <c r="F288" s="31">
        <v>55</v>
      </c>
      <c r="G288" s="31">
        <v>13914603658</v>
      </c>
      <c r="H288" s="100">
        <v>45545</v>
      </c>
      <c r="I288" s="31"/>
      <c r="J288" s="25" t="s">
        <v>22</v>
      </c>
      <c r="K288" s="25" t="s">
        <v>115</v>
      </c>
      <c r="L288" s="25" t="str">
        <f ca="1" t="shared" si="42"/>
        <v>1年7个月</v>
      </c>
      <c r="M288" s="8"/>
      <c r="N288" s="8"/>
      <c r="O288" s="8"/>
      <c r="P288" s="48" t="s">
        <v>303</v>
      </c>
      <c r="Q288" s="8"/>
      <c r="R288" s="8"/>
      <c r="S288" s="8"/>
      <c r="T288" s="106"/>
    </row>
    <row r="289" customFormat="1" ht="15" customHeight="1" spans="1:256">
      <c r="A289" s="103">
        <v>104</v>
      </c>
      <c r="B289" s="47" t="s">
        <v>780</v>
      </c>
      <c r="C289" s="10" t="s">
        <v>781</v>
      </c>
      <c r="D289" s="228" t="s">
        <v>782</v>
      </c>
      <c r="E289" s="80" t="s">
        <v>152</v>
      </c>
      <c r="F289" s="80">
        <v>50</v>
      </c>
      <c r="G289" s="80">
        <v>13770209231</v>
      </c>
      <c r="H289" s="136">
        <v>45736</v>
      </c>
      <c r="I289" s="10"/>
      <c r="J289" s="80" t="s">
        <v>22</v>
      </c>
      <c r="K289" s="80" t="s">
        <v>100</v>
      </c>
      <c r="M289" s="10"/>
      <c r="N289" s="10"/>
      <c r="O289" s="10"/>
      <c r="P289" s="10"/>
      <c r="Q289" s="8"/>
      <c r="R289" s="8"/>
      <c r="S289" s="8"/>
      <c r="T289" s="8"/>
    </row>
    <row r="290" s="5" customFormat="1" ht="15" customHeight="1" spans="1:256">
      <c r="A290" s="24">
        <v>54</v>
      </c>
      <c r="B290" s="25" t="s">
        <v>783</v>
      </c>
      <c r="C290" s="25" t="s">
        <v>784</v>
      </c>
      <c r="D290" s="205" t="s">
        <v>785</v>
      </c>
      <c r="E290" s="25" t="str">
        <f>IF(MOD(MID(D290,17,1),2),"男","女")</f>
        <v>女</v>
      </c>
      <c r="F290" s="24">
        <f ca="1">YEAR(NOW())-MID(D290,7,4)</f>
        <v>45</v>
      </c>
      <c r="G290" s="26">
        <v>15295350839</v>
      </c>
      <c r="H290" s="27">
        <v>45022</v>
      </c>
      <c r="I290" s="27"/>
      <c r="J290" s="25" t="s">
        <v>22</v>
      </c>
      <c r="K290" s="25" t="s">
        <v>100</v>
      </c>
      <c r="L290" s="25" t="str">
        <f ca="1" t="shared" ref="L290:L315" si="43">DATEDIF(H290,TODAY(),"Y")&amp;"年"&amp;DATEDIF(H290,TODAY(),"YM")&amp;"个月"</f>
        <v>3年0个月</v>
      </c>
      <c r="M290" s="25" t="s">
        <v>154</v>
      </c>
      <c r="N290" s="24"/>
      <c r="O290" s="43"/>
      <c r="P290" s="138" t="s">
        <v>598</v>
      </c>
      <c r="Q290" s="41" t="s">
        <v>102</v>
      </c>
      <c r="R290" s="42" t="s">
        <v>397</v>
      </c>
      <c r="T290" s="42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  <c r="CB290" s="15"/>
      <c r="CC290" s="15"/>
      <c r="CD290" s="15"/>
      <c r="CE290" s="15"/>
      <c r="CF290" s="15"/>
      <c r="CG290" s="15"/>
      <c r="CH290" s="15"/>
      <c r="CI290" s="15"/>
      <c r="CJ290" s="15"/>
      <c r="CK290" s="15"/>
      <c r="CL290" s="15"/>
      <c r="CM290" s="15"/>
      <c r="CN290" s="15"/>
      <c r="CO290" s="15"/>
      <c r="CP290" s="15"/>
      <c r="CQ290" s="15"/>
      <c r="CR290" s="15"/>
      <c r="CS290" s="15"/>
      <c r="CT290" s="15"/>
      <c r="CU290" s="15"/>
      <c r="CV290" s="15"/>
      <c r="CW290" s="15"/>
      <c r="CX290" s="15"/>
      <c r="CY290" s="15"/>
      <c r="CZ290" s="15"/>
      <c r="DA290" s="15"/>
      <c r="DB290" s="15"/>
      <c r="DC290" s="15"/>
      <c r="DD290" s="15"/>
      <c r="DE290" s="15"/>
      <c r="DF290" s="15"/>
      <c r="DG290" s="15"/>
      <c r="DH290" s="15"/>
      <c r="DI290" s="15"/>
      <c r="DJ290" s="15"/>
      <c r="DK290" s="15"/>
      <c r="DL290" s="15"/>
      <c r="DM290" s="15"/>
      <c r="DN290" s="15"/>
      <c r="DO290" s="15"/>
      <c r="DP290" s="15"/>
      <c r="DQ290" s="15"/>
      <c r="DR290" s="15"/>
      <c r="DS290" s="15"/>
      <c r="DT290" s="15"/>
      <c r="DU290" s="15"/>
      <c r="DV290" s="15"/>
      <c r="DW290" s="15"/>
      <c r="DX290" s="15"/>
      <c r="DY290" s="15"/>
      <c r="DZ290" s="15"/>
      <c r="EA290" s="15"/>
      <c r="EB290" s="15"/>
      <c r="EC290" s="15"/>
      <c r="ED290" s="15"/>
      <c r="EE290" s="15"/>
      <c r="EF290" s="15"/>
      <c r="EG290" s="15"/>
      <c r="EH290" s="15"/>
      <c r="EI290" s="15"/>
      <c r="EJ290" s="15"/>
      <c r="EK290" s="15"/>
      <c r="EL290" s="15"/>
      <c r="EM290" s="15"/>
      <c r="EN290" s="15"/>
      <c r="EO290" s="15"/>
      <c r="EP290" s="15"/>
      <c r="EQ290" s="15"/>
      <c r="ER290" s="15"/>
      <c r="ES290" s="15"/>
      <c r="ET290" s="15"/>
      <c r="EU290" s="15"/>
      <c r="EV290" s="15"/>
      <c r="EW290" s="15"/>
      <c r="EX290" s="15"/>
      <c r="EY290" s="15"/>
      <c r="EZ290" s="15"/>
      <c r="FA290" s="15"/>
      <c r="FB290" s="15"/>
      <c r="FC290" s="15"/>
      <c r="FD290" s="15"/>
      <c r="FE290" s="15"/>
      <c r="FF290" s="15"/>
      <c r="FG290" s="15"/>
      <c r="FH290" s="15"/>
      <c r="FI290" s="15"/>
      <c r="FJ290" s="15"/>
      <c r="FK290" s="15"/>
      <c r="FL290" s="15"/>
      <c r="FM290" s="15"/>
      <c r="FN290" s="15"/>
      <c r="FO290" s="15"/>
      <c r="FP290" s="15"/>
      <c r="FQ290" s="15"/>
      <c r="FR290" s="15"/>
      <c r="FS290" s="15"/>
      <c r="FT290" s="15"/>
      <c r="FU290" s="15"/>
      <c r="FV290" s="15"/>
      <c r="FW290" s="15"/>
      <c r="FX290" s="15"/>
      <c r="FY290" s="15"/>
      <c r="FZ290" s="15"/>
      <c r="GA290" s="15"/>
      <c r="GB290" s="15"/>
      <c r="GC290" s="15"/>
      <c r="GD290" s="15"/>
      <c r="GE290" s="15"/>
      <c r="GF290" s="15"/>
      <c r="GG290" s="15"/>
      <c r="GH290" s="15"/>
      <c r="GI290" s="15"/>
      <c r="GJ290" s="15"/>
      <c r="GK290" s="15"/>
      <c r="GL290" s="15"/>
      <c r="GM290" s="15"/>
      <c r="GN290" s="15"/>
      <c r="GO290" s="15"/>
      <c r="GP290" s="15"/>
      <c r="GQ290" s="15"/>
      <c r="GR290" s="15"/>
      <c r="GS290" s="15"/>
      <c r="GT290" s="15"/>
      <c r="GU290" s="15"/>
      <c r="GV290" s="15"/>
      <c r="GW290" s="15"/>
      <c r="GX290" s="15"/>
      <c r="GY290" s="15"/>
      <c r="GZ290" s="15"/>
      <c r="HA290" s="15"/>
      <c r="HB290" s="15"/>
      <c r="HC290" s="15"/>
      <c r="HD290" s="15"/>
      <c r="HE290" s="15"/>
      <c r="HF290" s="15"/>
      <c r="HG290" s="15"/>
      <c r="HH290" s="15"/>
      <c r="HI290" s="15"/>
      <c r="HJ290" s="15"/>
      <c r="HK290" s="15"/>
      <c r="HL290" s="15"/>
      <c r="HM290" s="15"/>
      <c r="HN290" s="15"/>
      <c r="HO290" s="15"/>
      <c r="HP290" s="15"/>
      <c r="HQ290" s="15"/>
      <c r="HR290" s="15"/>
      <c r="HS290" s="15"/>
      <c r="HT290" s="15"/>
      <c r="HU290" s="15"/>
      <c r="HV290" s="15"/>
      <c r="HW290" s="15"/>
      <c r="HX290" s="15"/>
      <c r="HY290" s="15"/>
      <c r="HZ290" s="15"/>
      <c r="IA290" s="15"/>
      <c r="IB290" s="15"/>
      <c r="IC290" s="15"/>
      <c r="ID290" s="15"/>
      <c r="IE290" s="15"/>
      <c r="IF290" s="15"/>
      <c r="IG290" s="15"/>
      <c r="IH290" s="15"/>
      <c r="II290" s="15"/>
      <c r="IJ290" s="15"/>
      <c r="IK290" s="15"/>
      <c r="IL290" s="15"/>
      <c r="IM290" s="15"/>
      <c r="IN290" s="15"/>
      <c r="IO290" s="15"/>
      <c r="IP290" s="15"/>
      <c r="IQ290" s="15"/>
      <c r="IR290" s="15"/>
      <c r="IS290" s="15"/>
      <c r="IT290" s="15"/>
      <c r="IU290" s="15"/>
      <c r="IV290" s="15"/>
    </row>
    <row r="291" customFormat="1" ht="15" customHeight="1" spans="1:256">
      <c r="A291" s="24">
        <v>99</v>
      </c>
      <c r="B291" s="133" t="s">
        <v>786</v>
      </c>
      <c r="C291" s="91" t="s">
        <v>787</v>
      </c>
      <c r="D291" s="229" t="s">
        <v>788</v>
      </c>
      <c r="E291" s="18" t="s">
        <v>158</v>
      </c>
      <c r="F291" s="18">
        <v>38</v>
      </c>
      <c r="G291" s="18">
        <v>18262375652</v>
      </c>
      <c r="H291" s="66">
        <v>45722</v>
      </c>
      <c r="I291" s="8"/>
      <c r="J291" s="18" t="s">
        <v>22</v>
      </c>
      <c r="K291" s="18" t="s">
        <v>789</v>
      </c>
      <c r="L291" s="25" t="str">
        <f ca="1" t="shared" si="43"/>
        <v>1年1个月</v>
      </c>
      <c r="M291" s="18"/>
      <c r="N291" s="8"/>
      <c r="O291" s="8"/>
      <c r="P291" s="8"/>
      <c r="Q291" s="8"/>
      <c r="R291" s="8"/>
      <c r="T291" s="8"/>
    </row>
    <row r="292" customFormat="1" ht="15" customHeight="1" spans="1:256">
      <c r="A292" s="24">
        <v>95</v>
      </c>
      <c r="B292" s="133" t="s">
        <v>790</v>
      </c>
      <c r="C292" s="69" t="s">
        <v>791</v>
      </c>
      <c r="D292" s="214" t="s">
        <v>792</v>
      </c>
      <c r="E292" s="69" t="s">
        <v>152</v>
      </c>
      <c r="F292" s="69">
        <v>36</v>
      </c>
      <c r="G292" s="69">
        <v>15950348267</v>
      </c>
      <c r="H292" s="70">
        <v>45712</v>
      </c>
      <c r="I292" s="68"/>
      <c r="J292" s="69" t="s">
        <v>22</v>
      </c>
      <c r="K292" s="69" t="s">
        <v>168</v>
      </c>
      <c r="L292" s="25" t="str">
        <f ca="1" t="shared" si="43"/>
        <v>1年1个月</v>
      </c>
      <c r="M292" s="11" t="s">
        <v>793</v>
      </c>
      <c r="N292" s="68"/>
      <c r="O292" s="68"/>
      <c r="P292" s="68"/>
      <c r="Q292" s="8"/>
      <c r="R292" s="8"/>
      <c r="S292" s="8"/>
      <c r="T292" s="8"/>
    </row>
    <row r="293" customFormat="1" ht="15" customHeight="1" spans="1:256">
      <c r="A293" s="24">
        <v>102</v>
      </c>
      <c r="B293" s="47" t="s">
        <v>794</v>
      </c>
      <c r="C293" s="80" t="s">
        <v>795</v>
      </c>
      <c r="D293" s="228" t="s">
        <v>796</v>
      </c>
      <c r="E293" s="80" t="s">
        <v>152</v>
      </c>
      <c r="F293" s="80">
        <v>38</v>
      </c>
      <c r="G293" s="80">
        <v>13814321291</v>
      </c>
      <c r="H293" s="136">
        <v>45727</v>
      </c>
      <c r="I293" s="10"/>
      <c r="J293" s="80" t="s">
        <v>22</v>
      </c>
      <c r="K293" s="18" t="s">
        <v>100</v>
      </c>
      <c r="L293" s="25" t="str">
        <f ca="1" t="shared" si="43"/>
        <v>1年1个月</v>
      </c>
      <c r="M293" s="18"/>
      <c r="O293" s="8"/>
      <c r="P293" s="8"/>
      <c r="Q293" s="8"/>
      <c r="R293" s="8"/>
      <c r="S293" s="8"/>
      <c r="T293" s="8"/>
    </row>
    <row r="294" customFormat="1" ht="15" customHeight="1" spans="1:256">
      <c r="A294" s="24">
        <v>95</v>
      </c>
      <c r="B294" s="133" t="s">
        <v>797</v>
      </c>
      <c r="C294" s="91" t="s">
        <v>798</v>
      </c>
      <c r="D294" s="213" t="s">
        <v>799</v>
      </c>
      <c r="E294" s="18" t="s">
        <v>158</v>
      </c>
      <c r="F294" s="18">
        <v>41</v>
      </c>
      <c r="G294" s="18">
        <v>15852964514</v>
      </c>
      <c r="H294" s="70">
        <v>45716</v>
      </c>
      <c r="I294" s="18"/>
      <c r="J294" s="139" t="s">
        <v>65</v>
      </c>
      <c r="K294" s="139" t="s">
        <v>756</v>
      </c>
      <c r="L294" s="25" t="str">
        <f ca="1" t="shared" si="43"/>
        <v>1年1个月</v>
      </c>
      <c r="M294" s="11" t="s">
        <v>800</v>
      </c>
      <c r="N294" s="8"/>
      <c r="O294" s="8"/>
      <c r="P294" s="8"/>
      <c r="Q294" s="8"/>
      <c r="R294" s="8"/>
      <c r="S294" s="8"/>
      <c r="T294" s="8"/>
    </row>
    <row r="295" customFormat="1" ht="15" customHeight="1" spans="1:256">
      <c r="A295" s="24">
        <v>96</v>
      </c>
      <c r="B295" s="133" t="s">
        <v>801</v>
      </c>
      <c r="C295" s="18" t="s">
        <v>802</v>
      </c>
      <c r="D295" s="213" t="s">
        <v>803</v>
      </c>
      <c r="E295" s="18" t="s">
        <v>158</v>
      </c>
      <c r="F295" s="18">
        <v>26</v>
      </c>
      <c r="G295" s="18">
        <v>15050659059</v>
      </c>
      <c r="H295" s="66">
        <v>45722</v>
      </c>
      <c r="I295" s="8"/>
      <c r="J295" s="18" t="s">
        <v>22</v>
      </c>
      <c r="K295" s="18" t="s">
        <v>312</v>
      </c>
      <c r="L295" s="25" t="str">
        <f ca="1" t="shared" si="43"/>
        <v>1年1个月</v>
      </c>
      <c r="M295" s="71" t="s">
        <v>804</v>
      </c>
      <c r="N295" s="8"/>
      <c r="O295" s="8"/>
      <c r="P295" s="8"/>
      <c r="Q295" s="8"/>
      <c r="R295" s="8"/>
      <c r="S295" s="8"/>
      <c r="T295" s="8"/>
    </row>
    <row r="296" customFormat="1" ht="15" customHeight="1" spans="1:256">
      <c r="A296" s="24">
        <v>98</v>
      </c>
      <c r="B296" s="47" t="s">
        <v>805</v>
      </c>
      <c r="C296" s="91" t="s">
        <v>806</v>
      </c>
      <c r="D296" s="213" t="s">
        <v>807</v>
      </c>
      <c r="E296" s="18" t="s">
        <v>158</v>
      </c>
      <c r="F296" s="18">
        <v>37</v>
      </c>
      <c r="G296" s="18">
        <v>19922586501</v>
      </c>
      <c r="H296" s="66">
        <v>45729</v>
      </c>
      <c r="I296" s="8"/>
      <c r="J296" s="18" t="s">
        <v>22</v>
      </c>
      <c r="K296" s="18" t="s">
        <v>808</v>
      </c>
      <c r="L296" s="25" t="str">
        <f ca="1" t="shared" si="43"/>
        <v>1年1个月</v>
      </c>
      <c r="M296" s="18" t="s">
        <v>809</v>
      </c>
      <c r="N296" s="8"/>
      <c r="O296" s="8"/>
      <c r="P296" s="8"/>
      <c r="Q296" s="8"/>
      <c r="R296" s="8"/>
      <c r="S296" s="8"/>
      <c r="T296" s="95"/>
    </row>
    <row r="297" s="7" customFormat="1" ht="15" customHeight="1" spans="1:256">
      <c r="A297" s="24">
        <v>37</v>
      </c>
      <c r="B297" s="25" t="s">
        <v>810</v>
      </c>
      <c r="C297" s="25" t="s">
        <v>811</v>
      </c>
      <c r="D297" s="25" t="s">
        <v>812</v>
      </c>
      <c r="E297" s="25" t="str">
        <f>IF(MOD(MID(D297,17,1),2),"男","女")</f>
        <v>女</v>
      </c>
      <c r="F297" s="24">
        <f ca="1">YEAR(NOW())-MID(D297,7,4)</f>
        <v>37</v>
      </c>
      <c r="G297" s="26">
        <v>17300655852</v>
      </c>
      <c r="H297" s="27">
        <v>44484</v>
      </c>
      <c r="I297" s="27"/>
      <c r="J297" s="25" t="s">
        <v>22</v>
      </c>
      <c r="K297" s="25" t="s">
        <v>100</v>
      </c>
      <c r="L297" s="25" t="str">
        <f ca="1" t="shared" si="43"/>
        <v>4年5个月</v>
      </c>
      <c r="M297" s="25" t="s">
        <v>154</v>
      </c>
      <c r="N297" s="24"/>
      <c r="O297" s="43"/>
      <c r="P297" s="25" t="s">
        <v>249</v>
      </c>
      <c r="Q297" s="140" t="s">
        <v>102</v>
      </c>
      <c r="R297" s="42" t="s">
        <v>397</v>
      </c>
      <c r="T297" s="92"/>
      <c r="U297" s="93"/>
      <c r="V297" s="93"/>
      <c r="W297" s="93"/>
      <c r="X297" s="93"/>
      <c r="Y297" s="93"/>
      <c r="Z297" s="93"/>
      <c r="AA297" s="93"/>
      <c r="AB297" s="93"/>
      <c r="AC297" s="93"/>
      <c r="AD297" s="93"/>
      <c r="AE297" s="93"/>
      <c r="AF297" s="93"/>
      <c r="AG297" s="93"/>
      <c r="AH297" s="93"/>
      <c r="AI297" s="93"/>
      <c r="AJ297" s="93"/>
      <c r="AK297" s="93"/>
      <c r="AL297" s="93"/>
      <c r="AM297" s="93"/>
      <c r="AN297" s="93"/>
      <c r="AO297" s="93"/>
      <c r="AP297" s="93"/>
      <c r="AQ297" s="93"/>
      <c r="AR297" s="93"/>
      <c r="AS297" s="93"/>
      <c r="AT297" s="93"/>
      <c r="AU297" s="93"/>
      <c r="AV297" s="93"/>
      <c r="AW297" s="93"/>
      <c r="AX297" s="93"/>
      <c r="AY297" s="93"/>
      <c r="AZ297" s="93"/>
      <c r="BA297" s="93"/>
      <c r="BB297" s="93"/>
      <c r="BC297" s="93"/>
      <c r="BD297" s="93"/>
      <c r="BE297" s="93"/>
      <c r="BF297" s="93"/>
      <c r="BG297" s="93"/>
      <c r="BH297" s="93"/>
      <c r="BI297" s="93"/>
      <c r="BJ297" s="93"/>
      <c r="BK297" s="93"/>
      <c r="BL297" s="93"/>
      <c r="BM297" s="93"/>
      <c r="BN297" s="93"/>
      <c r="BO297" s="93"/>
      <c r="BP297" s="93"/>
      <c r="BQ297" s="93"/>
      <c r="BR297" s="93"/>
      <c r="BS297" s="93"/>
      <c r="BT297" s="93"/>
      <c r="BU297" s="93"/>
      <c r="BV297" s="93"/>
      <c r="BW297" s="93"/>
      <c r="BX297" s="93"/>
      <c r="BY297" s="93"/>
      <c r="BZ297" s="93"/>
      <c r="CA297" s="93"/>
      <c r="CB297" s="93"/>
      <c r="CC297" s="93"/>
      <c r="CD297" s="93"/>
      <c r="CE297" s="93"/>
      <c r="CF297" s="93"/>
      <c r="CG297" s="93"/>
      <c r="CH297" s="93"/>
      <c r="CI297" s="93"/>
      <c r="CJ297" s="93"/>
      <c r="CK297" s="93"/>
      <c r="CL297" s="93"/>
      <c r="CM297" s="93"/>
      <c r="CN297" s="93"/>
      <c r="CO297" s="93"/>
      <c r="CP297" s="93"/>
      <c r="CQ297" s="93"/>
      <c r="CR297" s="93"/>
      <c r="CS297" s="93"/>
      <c r="CT297" s="93"/>
      <c r="CU297" s="93"/>
      <c r="CV297" s="93"/>
      <c r="CW297" s="93"/>
      <c r="CX297" s="93"/>
      <c r="CY297" s="93"/>
      <c r="CZ297" s="93"/>
      <c r="DA297" s="93"/>
      <c r="DB297" s="93"/>
      <c r="DC297" s="93"/>
      <c r="DD297" s="93"/>
      <c r="DE297" s="93"/>
      <c r="DF297" s="93"/>
      <c r="DG297" s="93"/>
      <c r="DH297" s="93"/>
      <c r="DI297" s="93"/>
      <c r="DJ297" s="93"/>
      <c r="DK297" s="93"/>
      <c r="DL297" s="93"/>
      <c r="DM297" s="93"/>
      <c r="DN297" s="93"/>
      <c r="DO297" s="93"/>
      <c r="DP297" s="93"/>
      <c r="DQ297" s="93"/>
      <c r="DR297" s="93"/>
      <c r="DS297" s="93"/>
      <c r="DT297" s="93"/>
      <c r="DU297" s="93"/>
      <c r="DV297" s="93"/>
      <c r="DW297" s="93"/>
      <c r="DX297" s="93"/>
      <c r="DY297" s="93"/>
      <c r="DZ297" s="93"/>
      <c r="EA297" s="93"/>
      <c r="EB297" s="93"/>
      <c r="EC297" s="93"/>
      <c r="ED297" s="93"/>
      <c r="EE297" s="93"/>
      <c r="EF297" s="93"/>
      <c r="EG297" s="93"/>
      <c r="EH297" s="93"/>
      <c r="EI297" s="93"/>
      <c r="EJ297" s="93"/>
      <c r="EK297" s="93"/>
      <c r="EL297" s="93"/>
      <c r="EM297" s="93"/>
      <c r="EN297" s="93"/>
      <c r="EO297" s="93"/>
      <c r="EP297" s="93"/>
      <c r="EQ297" s="93"/>
      <c r="ER297" s="93"/>
      <c r="ES297" s="93"/>
      <c r="ET297" s="93"/>
      <c r="EU297" s="93"/>
      <c r="EV297" s="93"/>
      <c r="EW297" s="93"/>
      <c r="EX297" s="93"/>
      <c r="EY297" s="93"/>
      <c r="EZ297" s="93"/>
      <c r="FA297" s="93"/>
      <c r="FB297" s="93"/>
      <c r="FC297" s="93"/>
      <c r="FD297" s="93"/>
      <c r="FE297" s="93"/>
      <c r="FF297" s="93"/>
      <c r="FG297" s="93"/>
      <c r="FH297" s="93"/>
      <c r="FI297" s="93"/>
      <c r="FJ297" s="93"/>
      <c r="FK297" s="93"/>
      <c r="FL297" s="93"/>
      <c r="FM297" s="93"/>
      <c r="FN297" s="93"/>
      <c r="FO297" s="93"/>
      <c r="FP297" s="93"/>
      <c r="FQ297" s="93"/>
      <c r="FR297" s="93"/>
      <c r="FS297" s="93"/>
      <c r="FT297" s="93"/>
      <c r="FU297" s="93"/>
      <c r="FV297" s="93"/>
      <c r="FW297" s="93"/>
      <c r="FX297" s="93"/>
      <c r="FY297" s="93"/>
      <c r="FZ297" s="93"/>
      <c r="GA297" s="93"/>
      <c r="GB297" s="93"/>
      <c r="GC297" s="93"/>
      <c r="GD297" s="93"/>
      <c r="GE297" s="93"/>
      <c r="GF297" s="93"/>
      <c r="GG297" s="93"/>
      <c r="GH297" s="93"/>
      <c r="GI297" s="93"/>
      <c r="GJ297" s="93"/>
      <c r="GK297" s="93"/>
      <c r="GL297" s="93"/>
      <c r="GM297" s="93"/>
      <c r="GN297" s="93"/>
      <c r="GO297" s="93"/>
      <c r="GP297" s="93"/>
      <c r="GQ297" s="93"/>
      <c r="GR297" s="93"/>
      <c r="GS297" s="93"/>
      <c r="GT297" s="93"/>
      <c r="GU297" s="93"/>
      <c r="GV297" s="93"/>
      <c r="GW297" s="93"/>
      <c r="GX297" s="93"/>
      <c r="GY297" s="93"/>
      <c r="GZ297" s="93"/>
      <c r="HA297" s="93"/>
      <c r="HB297" s="93"/>
      <c r="HC297" s="93"/>
      <c r="HD297" s="93"/>
      <c r="HE297" s="93"/>
      <c r="HF297" s="93"/>
      <c r="HG297" s="93"/>
      <c r="HH297" s="93"/>
      <c r="HI297" s="93"/>
      <c r="HJ297" s="93"/>
      <c r="HK297" s="93"/>
      <c r="HL297" s="93"/>
      <c r="HM297" s="93"/>
      <c r="HN297" s="93"/>
      <c r="HO297" s="93"/>
      <c r="HP297" s="93"/>
      <c r="HQ297" s="93"/>
      <c r="HR297" s="93"/>
      <c r="HS297" s="93"/>
      <c r="HT297" s="93"/>
      <c r="HU297" s="93"/>
      <c r="HV297" s="93"/>
      <c r="HW297" s="93"/>
      <c r="HX297" s="93"/>
      <c r="HY297" s="93"/>
      <c r="HZ297" s="93"/>
      <c r="IA297" s="93"/>
      <c r="IB297" s="93"/>
      <c r="IC297" s="93"/>
      <c r="ID297" s="93"/>
      <c r="IE297" s="93"/>
      <c r="IF297" s="93"/>
      <c r="IG297" s="93"/>
      <c r="IH297" s="93"/>
      <c r="II297" s="93"/>
      <c r="IJ297" s="93"/>
      <c r="IK297" s="93"/>
      <c r="IL297" s="93"/>
      <c r="IM297" s="93"/>
      <c r="IN297" s="93"/>
      <c r="IO297" s="93"/>
      <c r="IP297" s="93"/>
      <c r="IQ297" s="93"/>
      <c r="IR297" s="93"/>
      <c r="IS297" s="93"/>
      <c r="IT297" s="93"/>
      <c r="IU297" s="93"/>
      <c r="IV297" s="93"/>
    </row>
    <row r="298" customFormat="1" ht="15" customHeight="1" spans="1:256">
      <c r="A298" s="24">
        <v>92</v>
      </c>
      <c r="B298" s="133" t="s">
        <v>813</v>
      </c>
      <c r="C298" s="30" t="s">
        <v>814</v>
      </c>
      <c r="D298" s="207" t="s">
        <v>815</v>
      </c>
      <c r="E298" s="30" t="s">
        <v>152</v>
      </c>
      <c r="F298" s="130">
        <v>37</v>
      </c>
      <c r="G298" s="18">
        <v>15895151911</v>
      </c>
      <c r="H298" s="66">
        <v>45712</v>
      </c>
      <c r="I298" s="31"/>
      <c r="J298" s="25" t="s">
        <v>33</v>
      </c>
      <c r="K298" s="25" t="s">
        <v>176</v>
      </c>
      <c r="L298" s="25" t="str">
        <f ca="1" t="shared" si="43"/>
        <v>1年1个月</v>
      </c>
      <c r="N298" s="8"/>
      <c r="O298" s="8"/>
      <c r="P298" s="8"/>
      <c r="Q298" s="8"/>
      <c r="R298" s="8"/>
      <c r="S298" s="8"/>
      <c r="T298" s="8"/>
    </row>
    <row r="299" s="6" customFormat="1" ht="15" customHeight="1" spans="1:256">
      <c r="A299" s="24">
        <v>72</v>
      </c>
      <c r="B299" s="48" t="s">
        <v>816</v>
      </c>
      <c r="C299" s="64" t="s">
        <v>817</v>
      </c>
      <c r="D299" s="223" t="s">
        <v>818</v>
      </c>
      <c r="E299" s="64" t="s">
        <v>152</v>
      </c>
      <c r="F299" s="64">
        <v>37</v>
      </c>
      <c r="G299" s="64">
        <v>19816155267</v>
      </c>
      <c r="H299" s="90">
        <v>45432</v>
      </c>
      <c r="I299" s="60"/>
      <c r="J299" s="48" t="s">
        <v>22</v>
      </c>
      <c r="K299" s="48" t="s">
        <v>661</v>
      </c>
      <c r="L299" s="25" t="str">
        <f ca="1" t="shared" si="43"/>
        <v>1年10个月</v>
      </c>
      <c r="M299" s="60"/>
      <c r="N299" s="48"/>
      <c r="O299" s="48"/>
      <c r="P299" s="48" t="s">
        <v>396</v>
      </c>
      <c r="Q299" s="48" t="s">
        <v>111</v>
      </c>
      <c r="R299" s="48" t="s">
        <v>397</v>
      </c>
      <c r="T299" s="48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  <c r="CZ299" s="9"/>
      <c r="DA299" s="9"/>
      <c r="DB299" s="9"/>
      <c r="DC299" s="9"/>
      <c r="DD299" s="9"/>
      <c r="DE299" s="9"/>
      <c r="DF299" s="9"/>
      <c r="DG299" s="9"/>
      <c r="DH299" s="9"/>
      <c r="DI299" s="9"/>
      <c r="DJ299" s="9"/>
      <c r="DK299" s="9"/>
      <c r="DL299" s="9"/>
      <c r="DM299" s="9"/>
      <c r="DN299" s="9"/>
      <c r="DO299" s="9"/>
      <c r="DP299" s="9"/>
      <c r="DQ299" s="9"/>
      <c r="DR299" s="9"/>
      <c r="DS299" s="9"/>
      <c r="DT299" s="9"/>
      <c r="DU299" s="9"/>
      <c r="DV299" s="9"/>
      <c r="DW299" s="9"/>
      <c r="DX299" s="9"/>
      <c r="DY299" s="9"/>
      <c r="DZ299" s="9"/>
      <c r="EA299" s="9"/>
      <c r="EB299" s="9"/>
      <c r="EC299" s="9"/>
      <c r="ED299" s="9"/>
      <c r="EE299" s="9"/>
      <c r="EF299" s="9"/>
      <c r="EG299" s="9"/>
      <c r="EH299" s="9"/>
      <c r="EI299" s="9"/>
      <c r="EJ299" s="9"/>
      <c r="EK299" s="9"/>
      <c r="EL299" s="9"/>
      <c r="EM299" s="9"/>
      <c r="EN299" s="9"/>
      <c r="EO299" s="9"/>
      <c r="EP299" s="9"/>
      <c r="EQ299" s="9"/>
      <c r="ER299" s="9"/>
      <c r="ES299" s="9"/>
      <c r="ET299" s="9"/>
      <c r="EU299" s="9"/>
      <c r="EV299" s="9"/>
      <c r="EW299" s="9"/>
      <c r="EX299" s="9"/>
      <c r="EY299" s="9"/>
      <c r="EZ299" s="9"/>
      <c r="FA299" s="9"/>
      <c r="FB299" s="9"/>
      <c r="FC299" s="9"/>
      <c r="FD299" s="9"/>
      <c r="FE299" s="9"/>
      <c r="FF299" s="9"/>
      <c r="FG299" s="9"/>
      <c r="FH299" s="9"/>
      <c r="FI299" s="9"/>
      <c r="FJ299" s="9"/>
      <c r="FK299" s="9"/>
      <c r="FL299" s="9"/>
      <c r="FM299" s="9"/>
      <c r="FN299" s="9"/>
      <c r="FO299" s="9"/>
      <c r="FP299" s="9"/>
      <c r="FQ299" s="9"/>
      <c r="FR299" s="9"/>
      <c r="FS299" s="9"/>
      <c r="FT299" s="9"/>
      <c r="FU299" s="9"/>
      <c r="FV299" s="9"/>
      <c r="FW299" s="9"/>
      <c r="FX299" s="9"/>
      <c r="FY299" s="9"/>
      <c r="FZ299" s="9"/>
      <c r="GA299" s="9"/>
      <c r="GB299" s="9"/>
      <c r="GC299" s="9"/>
      <c r="GD299" s="9"/>
      <c r="GE299" s="9"/>
      <c r="GF299" s="9"/>
      <c r="GG299" s="9"/>
      <c r="GH299" s="9"/>
      <c r="GI299" s="9"/>
      <c r="GJ299" s="9"/>
      <c r="GK299" s="9"/>
      <c r="GL299" s="9"/>
      <c r="GM299" s="9"/>
      <c r="GN299" s="9"/>
      <c r="GO299" s="9"/>
      <c r="GP299" s="9"/>
      <c r="GQ299" s="9"/>
      <c r="GR299" s="9"/>
      <c r="GS299" s="9"/>
      <c r="GT299" s="9"/>
      <c r="GU299" s="9"/>
      <c r="GV299" s="9"/>
      <c r="GW299" s="9"/>
      <c r="GX299" s="9"/>
      <c r="GY299" s="9"/>
      <c r="GZ299" s="9"/>
      <c r="HA299" s="9"/>
      <c r="HB299" s="9"/>
      <c r="HC299" s="9"/>
      <c r="HD299" s="9"/>
      <c r="HE299" s="9"/>
      <c r="HF299" s="9"/>
      <c r="HG299" s="9"/>
      <c r="HH299" s="9"/>
      <c r="HI299" s="9"/>
      <c r="HJ299" s="9"/>
      <c r="HK299" s="9"/>
      <c r="HL299" s="9"/>
      <c r="HM299" s="9"/>
      <c r="HN299" s="9"/>
      <c r="HO299" s="9"/>
      <c r="HP299" s="9"/>
      <c r="HQ299" s="9"/>
      <c r="HR299" s="9"/>
      <c r="HS299" s="9"/>
      <c r="HT299" s="9"/>
      <c r="HU299" s="9"/>
      <c r="HV299" s="9"/>
      <c r="HW299" s="9"/>
      <c r="HX299" s="9"/>
      <c r="HY299" s="9"/>
      <c r="HZ299" s="9"/>
      <c r="IA299" s="9"/>
      <c r="IB299" s="9"/>
      <c r="IC299" s="9"/>
      <c r="ID299" s="9"/>
      <c r="IE299" s="9"/>
      <c r="IF299" s="9"/>
      <c r="IG299" s="9"/>
      <c r="IH299" s="9"/>
      <c r="II299" s="9"/>
      <c r="IJ299" s="9"/>
      <c r="IK299" s="9"/>
      <c r="IL299" s="9"/>
      <c r="IM299" s="9"/>
      <c r="IN299" s="9"/>
      <c r="IO299" s="9"/>
      <c r="IP299" s="9"/>
      <c r="IQ299" s="9"/>
      <c r="IR299" s="9"/>
      <c r="IS299" s="9"/>
      <c r="IT299" s="9"/>
      <c r="IU299" s="9"/>
      <c r="IV299" s="9"/>
    </row>
    <row r="300" spans="1:256">
      <c r="A300" s="24">
        <v>73</v>
      </c>
      <c r="B300" s="48" t="s">
        <v>819</v>
      </c>
      <c r="C300" s="91" t="s">
        <v>349</v>
      </c>
      <c r="D300" s="213" t="s">
        <v>350</v>
      </c>
      <c r="E300" s="18" t="s">
        <v>158</v>
      </c>
      <c r="F300" s="18">
        <v>55</v>
      </c>
      <c r="G300" s="18">
        <v>13236139782</v>
      </c>
      <c r="H300" s="66">
        <v>45721</v>
      </c>
      <c r="I300" s="18"/>
      <c r="J300" s="18" t="s">
        <v>22</v>
      </c>
      <c r="K300" s="18" t="s">
        <v>820</v>
      </c>
      <c r="L300" s="25" t="str">
        <f ca="1" t="shared" si="43"/>
        <v>1年1个月</v>
      </c>
      <c r="M300" s="31" t="s">
        <v>821</v>
      </c>
    </row>
    <row r="301" s="5" customFormat="1" ht="15" customHeight="1" spans="1:256">
      <c r="A301" s="24">
        <v>28</v>
      </c>
      <c r="B301" s="25" t="s">
        <v>822</v>
      </c>
      <c r="C301" s="25" t="s">
        <v>823</v>
      </c>
      <c r="D301" s="205" t="s">
        <v>824</v>
      </c>
      <c r="E301" s="25" t="str">
        <f>IF(MOD(MID(D301,17,1),2),"男","女")</f>
        <v>女</v>
      </c>
      <c r="F301" s="24">
        <f ca="1">YEAR(NOW())-MID(D301,7,4)</f>
        <v>37</v>
      </c>
      <c r="G301" s="26">
        <v>13814857282</v>
      </c>
      <c r="H301" s="27">
        <v>43892</v>
      </c>
      <c r="I301" s="27"/>
      <c r="J301" s="25" t="s">
        <v>33</v>
      </c>
      <c r="K301" s="25" t="s">
        <v>825</v>
      </c>
      <c r="L301" s="25" t="str">
        <f ca="1" t="shared" si="43"/>
        <v>6年1个月</v>
      </c>
      <c r="M301" s="25" t="s">
        <v>154</v>
      </c>
      <c r="N301" s="24"/>
      <c r="O301" s="43"/>
      <c r="P301" s="25" t="s">
        <v>249</v>
      </c>
      <c r="Q301" s="46" t="s">
        <v>111</v>
      </c>
      <c r="R301" s="42" t="s">
        <v>397</v>
      </c>
      <c r="T301" s="42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  <c r="CA301" s="15"/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  <c r="DF301" s="15"/>
      <c r="DG301" s="15"/>
      <c r="DH301" s="15"/>
      <c r="DI301" s="15"/>
      <c r="DJ301" s="15"/>
      <c r="DK301" s="15"/>
      <c r="DL301" s="15"/>
      <c r="DM301" s="15"/>
      <c r="DN301" s="15"/>
      <c r="DO301" s="15"/>
      <c r="DP301" s="15"/>
      <c r="DQ301" s="15"/>
      <c r="DR301" s="15"/>
      <c r="DS301" s="15"/>
      <c r="DT301" s="15"/>
      <c r="DU301" s="15"/>
      <c r="DV301" s="15"/>
      <c r="DW301" s="15"/>
      <c r="DX301" s="15"/>
      <c r="DY301" s="15"/>
      <c r="DZ301" s="15"/>
      <c r="EA301" s="15"/>
      <c r="EB301" s="15"/>
      <c r="EC301" s="15"/>
      <c r="ED301" s="15"/>
      <c r="EE301" s="15"/>
      <c r="EF301" s="15"/>
      <c r="EG301" s="15"/>
      <c r="EH301" s="15"/>
      <c r="EI301" s="15"/>
      <c r="EJ301" s="15"/>
      <c r="EK301" s="15"/>
      <c r="EL301" s="15"/>
      <c r="EM301" s="15"/>
      <c r="EN301" s="15"/>
      <c r="EO301" s="15"/>
      <c r="EP301" s="15"/>
      <c r="EQ301" s="15"/>
      <c r="ER301" s="15"/>
      <c r="ES301" s="15"/>
      <c r="ET301" s="15"/>
      <c r="EU301" s="15"/>
      <c r="EV301" s="15"/>
      <c r="EW301" s="15"/>
      <c r="EX301" s="15"/>
      <c r="EY301" s="15"/>
      <c r="EZ301" s="15"/>
      <c r="FA301" s="15"/>
      <c r="FB301" s="15"/>
      <c r="FC301" s="15"/>
      <c r="FD301" s="15"/>
      <c r="FE301" s="15"/>
      <c r="FF301" s="15"/>
      <c r="FG301" s="15"/>
      <c r="FH301" s="15"/>
      <c r="FI301" s="15"/>
      <c r="FJ301" s="15"/>
      <c r="FK301" s="15"/>
      <c r="FL301" s="15"/>
      <c r="FM301" s="15"/>
      <c r="FN301" s="15"/>
      <c r="FO301" s="15"/>
      <c r="FP301" s="15"/>
      <c r="FQ301" s="15"/>
      <c r="FR301" s="15"/>
      <c r="FS301" s="15"/>
      <c r="FT301" s="15"/>
      <c r="FU301" s="15"/>
      <c r="FV301" s="15"/>
      <c r="FW301" s="15"/>
      <c r="FX301" s="15"/>
      <c r="FY301" s="15"/>
      <c r="FZ301" s="15"/>
      <c r="GA301" s="15"/>
      <c r="GB301" s="15"/>
      <c r="GC301" s="15"/>
      <c r="GD301" s="15"/>
      <c r="GE301" s="15"/>
      <c r="GF301" s="15"/>
      <c r="GG301" s="15"/>
      <c r="GH301" s="15"/>
      <c r="GI301" s="15"/>
      <c r="GJ301" s="15"/>
      <c r="GK301" s="15"/>
      <c r="GL301" s="15"/>
      <c r="GM301" s="15"/>
      <c r="GN301" s="15"/>
      <c r="GO301" s="15"/>
      <c r="GP301" s="15"/>
      <c r="GQ301" s="15"/>
      <c r="GR301" s="15"/>
      <c r="GS301" s="15"/>
      <c r="GT301" s="15"/>
      <c r="GU301" s="15"/>
      <c r="GV301" s="15"/>
      <c r="GW301" s="15"/>
      <c r="GX301" s="15"/>
      <c r="GY301" s="15"/>
      <c r="GZ301" s="15"/>
      <c r="HA301" s="15"/>
      <c r="HB301" s="15"/>
      <c r="HC301" s="15"/>
      <c r="HD301" s="15"/>
      <c r="HE301" s="15"/>
      <c r="HF301" s="15"/>
      <c r="HG301" s="15"/>
      <c r="HH301" s="15"/>
      <c r="HI301" s="15"/>
      <c r="HJ301" s="15"/>
      <c r="HK301" s="15"/>
      <c r="HL301" s="15"/>
      <c r="HM301" s="15"/>
      <c r="HN301" s="15"/>
      <c r="HO301" s="15"/>
      <c r="HP301" s="15"/>
      <c r="HQ301" s="15"/>
      <c r="HR301" s="15"/>
      <c r="HS301" s="15"/>
      <c r="HT301" s="15"/>
      <c r="HU301" s="15"/>
      <c r="HV301" s="15"/>
      <c r="HW301" s="15"/>
      <c r="HX301" s="15"/>
      <c r="HY301" s="15"/>
      <c r="HZ301" s="15"/>
      <c r="IA301" s="15"/>
      <c r="IB301" s="15"/>
      <c r="IC301" s="15"/>
      <c r="ID301" s="15"/>
      <c r="IE301" s="15"/>
      <c r="IF301" s="15"/>
      <c r="IG301" s="15"/>
      <c r="IH301" s="15"/>
      <c r="II301" s="15"/>
      <c r="IJ301" s="15"/>
      <c r="IK301" s="15"/>
      <c r="IL301" s="15"/>
      <c r="IM301" s="15"/>
      <c r="IN301" s="15"/>
      <c r="IO301" s="15"/>
      <c r="IP301" s="15"/>
      <c r="IQ301" s="15"/>
      <c r="IR301" s="15"/>
      <c r="IS301" s="15"/>
      <c r="IT301" s="15"/>
      <c r="IU301" s="15"/>
      <c r="IV301" s="15"/>
    </row>
    <row r="302" s="11" customFormat="1" ht="15" customHeight="1" spans="1:256">
      <c r="A302" s="103">
        <v>104</v>
      </c>
      <c r="B302" s="141" t="s">
        <v>826</v>
      </c>
      <c r="C302" s="18" t="s">
        <v>827</v>
      </c>
      <c r="D302" s="213" t="s">
        <v>828</v>
      </c>
      <c r="E302" s="18" t="s">
        <v>158</v>
      </c>
      <c r="F302" s="18">
        <v>38</v>
      </c>
      <c r="G302" s="18">
        <v>15295355760</v>
      </c>
      <c r="H302" s="66">
        <v>45797</v>
      </c>
      <c r="I302" s="18"/>
      <c r="J302" s="18" t="s">
        <v>22</v>
      </c>
      <c r="K302" s="18" t="s">
        <v>100</v>
      </c>
      <c r="L302" s="47" t="str">
        <f ca="1" t="shared" si="43"/>
        <v>0年10个月</v>
      </c>
      <c r="M302" s="18"/>
      <c r="N302" s="18"/>
      <c r="O302" s="18"/>
      <c r="Q302" s="18"/>
      <c r="R302" s="18"/>
      <c r="S302" s="18"/>
      <c r="T302" s="18"/>
    </row>
    <row r="303" customFormat="1" ht="15" customHeight="1" spans="1:256">
      <c r="A303" s="103">
        <v>106</v>
      </c>
      <c r="B303" s="141" t="s">
        <v>829</v>
      </c>
      <c r="C303" s="18" t="s">
        <v>398</v>
      </c>
      <c r="D303" s="213" t="s">
        <v>399</v>
      </c>
      <c r="E303" s="18" t="s">
        <v>152</v>
      </c>
      <c r="F303" s="18">
        <v>42</v>
      </c>
      <c r="G303" s="18">
        <v>15961907551</v>
      </c>
      <c r="H303" s="66">
        <v>45811</v>
      </c>
      <c r="I303" s="8"/>
      <c r="J303" s="18" t="s">
        <v>22</v>
      </c>
      <c r="K303" s="18" t="s">
        <v>100</v>
      </c>
      <c r="L303" s="47" t="str">
        <f ca="1" t="shared" si="43"/>
        <v>0年10个月</v>
      </c>
      <c r="M303" s="8"/>
      <c r="N303" s="8"/>
      <c r="O303" s="8"/>
      <c r="P303" s="8"/>
      <c r="Q303" s="8"/>
      <c r="R303" s="8"/>
      <c r="S303" s="8"/>
      <c r="T303" s="8"/>
    </row>
    <row r="304" customFormat="1" ht="15" customHeight="1" spans="1:256">
      <c r="A304" s="103">
        <v>107</v>
      </c>
      <c r="B304" s="141" t="s">
        <v>830</v>
      </c>
      <c r="C304" s="18" t="s">
        <v>831</v>
      </c>
      <c r="D304" s="213" t="s">
        <v>832</v>
      </c>
      <c r="E304" s="18" t="s">
        <v>158</v>
      </c>
      <c r="F304" s="18">
        <v>40</v>
      </c>
      <c r="G304" s="18">
        <v>18221225541</v>
      </c>
      <c r="H304" s="66">
        <v>45819</v>
      </c>
      <c r="I304" s="8"/>
      <c r="J304" s="18" t="s">
        <v>22</v>
      </c>
      <c r="K304" s="18" t="s">
        <v>100</v>
      </c>
      <c r="L304" s="47" t="str">
        <f ca="1" t="shared" si="43"/>
        <v>0年10个月</v>
      </c>
      <c r="M304" s="8"/>
      <c r="N304" s="8"/>
      <c r="O304" s="8"/>
      <c r="P304" s="8"/>
      <c r="Q304" s="8"/>
      <c r="R304" s="8"/>
      <c r="S304" s="8"/>
      <c r="T304" s="8"/>
    </row>
    <row r="305" customFormat="1" ht="15" customHeight="1" spans="1:256">
      <c r="A305" s="103">
        <v>108</v>
      </c>
      <c r="B305" s="141" t="s">
        <v>833</v>
      </c>
      <c r="C305" s="18" t="s">
        <v>834</v>
      </c>
      <c r="D305" s="213" t="s">
        <v>835</v>
      </c>
      <c r="E305" s="18" t="s">
        <v>158</v>
      </c>
      <c r="F305" s="18">
        <v>36</v>
      </c>
      <c r="G305" s="18">
        <v>15852613736</v>
      </c>
      <c r="H305" s="66">
        <v>45820</v>
      </c>
      <c r="I305" s="18"/>
      <c r="J305" s="18" t="s">
        <v>22</v>
      </c>
      <c r="K305" s="18" t="s">
        <v>100</v>
      </c>
      <c r="L305" s="47" t="str">
        <f ca="1" t="shared" si="43"/>
        <v>0年10个月</v>
      </c>
      <c r="M305" s="8"/>
      <c r="N305" s="8"/>
      <c r="O305" s="8"/>
      <c r="P305" s="8"/>
      <c r="Q305" s="8"/>
      <c r="R305" s="8"/>
      <c r="S305" s="8"/>
      <c r="T305" s="8"/>
    </row>
    <row r="306" customFormat="1" ht="15" customHeight="1" spans="1:256">
      <c r="A306" s="103">
        <v>111</v>
      </c>
      <c r="B306" s="141" t="s">
        <v>836</v>
      </c>
      <c r="C306" s="18" t="s">
        <v>837</v>
      </c>
      <c r="D306" s="213" t="s">
        <v>838</v>
      </c>
      <c r="E306" s="18" t="s">
        <v>158</v>
      </c>
      <c r="F306" s="18">
        <v>55</v>
      </c>
      <c r="G306" s="18">
        <v>13814351435</v>
      </c>
      <c r="H306" s="66">
        <v>45824</v>
      </c>
      <c r="I306" s="18"/>
      <c r="J306" s="18" t="s">
        <v>22</v>
      </c>
      <c r="K306" s="18" t="s">
        <v>115</v>
      </c>
      <c r="L306" s="47" t="str">
        <f ca="1" t="shared" si="43"/>
        <v>0年9个月</v>
      </c>
      <c r="M306" s="8"/>
      <c r="N306" s="8"/>
      <c r="O306" s="8"/>
      <c r="P306" s="8"/>
      <c r="Q306" s="8"/>
    </row>
    <row r="307" s="6" customFormat="1" spans="1:256">
      <c r="A307" s="24">
        <v>56</v>
      </c>
      <c r="B307" s="25" t="s">
        <v>839</v>
      </c>
      <c r="C307" s="48" t="s">
        <v>840</v>
      </c>
      <c r="D307" s="210" t="s">
        <v>841</v>
      </c>
      <c r="E307" s="48" t="s">
        <v>158</v>
      </c>
      <c r="F307" s="24">
        <f ca="1">YEAR(NOW())-MID(D307,7,4)</f>
        <v>36</v>
      </c>
      <c r="G307" s="55">
        <v>18362469077</v>
      </c>
      <c r="H307" s="50">
        <v>45232</v>
      </c>
      <c r="I307" s="50"/>
      <c r="J307" s="48"/>
      <c r="K307" s="48" t="s">
        <v>115</v>
      </c>
      <c r="L307" s="25" t="str">
        <f ca="1" t="shared" si="43"/>
        <v>2年5个月</v>
      </c>
      <c r="M307" s="25" t="s">
        <v>154</v>
      </c>
      <c r="N307" s="48"/>
      <c r="O307" s="52"/>
      <c r="P307" s="29" t="s">
        <v>101</v>
      </c>
      <c r="Q307" s="48"/>
      <c r="S307" s="48" t="s">
        <v>303</v>
      </c>
      <c r="T307" s="48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  <c r="CO307" s="9"/>
      <c r="CP307" s="9"/>
      <c r="CQ307" s="9"/>
      <c r="CR307" s="9"/>
      <c r="CS307" s="9"/>
      <c r="CT307" s="9"/>
      <c r="CU307" s="9"/>
      <c r="CV307" s="9"/>
      <c r="CW307" s="9"/>
      <c r="CX307" s="9"/>
      <c r="CY307" s="9"/>
      <c r="CZ307" s="9"/>
      <c r="DA307" s="9"/>
      <c r="DB307" s="9"/>
      <c r="DC307" s="9"/>
      <c r="DD307" s="9"/>
      <c r="DE307" s="9"/>
      <c r="DF307" s="9"/>
      <c r="DG307" s="9"/>
      <c r="DH307" s="9"/>
      <c r="DI307" s="9"/>
      <c r="DJ307" s="9"/>
      <c r="DK307" s="9"/>
      <c r="DL307" s="9"/>
      <c r="DM307" s="9"/>
      <c r="DN307" s="9"/>
      <c r="DO307" s="9"/>
      <c r="DP307" s="9"/>
      <c r="DQ307" s="9"/>
      <c r="DR307" s="9"/>
      <c r="DS307" s="9"/>
      <c r="DT307" s="9"/>
      <c r="DU307" s="9"/>
      <c r="DV307" s="9"/>
      <c r="DW307" s="9"/>
      <c r="DX307" s="9"/>
      <c r="DY307" s="9"/>
      <c r="DZ307" s="9"/>
      <c r="EA307" s="9"/>
      <c r="EB307" s="9"/>
      <c r="EC307" s="9"/>
      <c r="ED307" s="9"/>
      <c r="EE307" s="9"/>
      <c r="EF307" s="9"/>
      <c r="EG307" s="9"/>
      <c r="EH307" s="9"/>
      <c r="EI307" s="9"/>
      <c r="EJ307" s="9"/>
      <c r="EK307" s="9"/>
      <c r="EL307" s="9"/>
      <c r="EM307" s="9"/>
      <c r="EN307" s="9"/>
      <c r="EO307" s="9"/>
      <c r="EP307" s="9"/>
      <c r="EQ307" s="9"/>
      <c r="ER307" s="9"/>
      <c r="ES307" s="9"/>
      <c r="ET307" s="9"/>
      <c r="EU307" s="9"/>
      <c r="EV307" s="9"/>
      <c r="EW307" s="9"/>
      <c r="EX307" s="9"/>
      <c r="EY307" s="9"/>
      <c r="EZ307" s="9"/>
      <c r="FA307" s="9"/>
      <c r="FB307" s="9"/>
      <c r="FC307" s="9"/>
      <c r="FD307" s="9"/>
      <c r="FE307" s="9"/>
      <c r="FF307" s="9"/>
      <c r="FG307" s="9"/>
      <c r="FH307" s="9"/>
      <c r="FI307" s="9"/>
      <c r="FJ307" s="9"/>
      <c r="FK307" s="9"/>
      <c r="FL307" s="9"/>
      <c r="FM307" s="9"/>
      <c r="FN307" s="9"/>
      <c r="FO307" s="9"/>
      <c r="FP307" s="9"/>
      <c r="FQ307" s="9"/>
      <c r="FR307" s="9"/>
      <c r="FS307" s="9"/>
      <c r="FT307" s="9"/>
      <c r="FU307" s="9"/>
      <c r="FV307" s="9"/>
      <c r="FW307" s="9"/>
      <c r="FX307" s="9"/>
      <c r="FY307" s="9"/>
      <c r="FZ307" s="9"/>
      <c r="GA307" s="9"/>
      <c r="GB307" s="9"/>
      <c r="GC307" s="9"/>
      <c r="GD307" s="9"/>
      <c r="GE307" s="9"/>
      <c r="GF307" s="9"/>
      <c r="GG307" s="9"/>
      <c r="GH307" s="9"/>
      <c r="GI307" s="9"/>
      <c r="GJ307" s="9"/>
      <c r="GK307" s="9"/>
      <c r="GL307" s="9"/>
      <c r="GM307" s="9"/>
      <c r="GN307" s="9"/>
      <c r="GO307" s="9"/>
      <c r="GP307" s="9"/>
      <c r="GQ307" s="9"/>
      <c r="GR307" s="9"/>
      <c r="GS307" s="9"/>
      <c r="GT307" s="9"/>
      <c r="GU307" s="9"/>
      <c r="GV307" s="9"/>
      <c r="GW307" s="9"/>
      <c r="GX307" s="9"/>
      <c r="GY307" s="9"/>
      <c r="GZ307" s="9"/>
      <c r="HA307" s="9"/>
      <c r="HB307" s="9"/>
      <c r="HC307" s="9"/>
      <c r="HD307" s="9"/>
      <c r="HE307" s="9"/>
      <c r="HF307" s="9"/>
      <c r="HG307" s="9"/>
      <c r="HH307" s="9"/>
      <c r="HI307" s="9"/>
      <c r="HJ307" s="9"/>
      <c r="HK307" s="9"/>
      <c r="HL307" s="9"/>
      <c r="HM307" s="9"/>
      <c r="HN307" s="9"/>
      <c r="HO307" s="9"/>
      <c r="HP307" s="9"/>
      <c r="HQ307" s="9"/>
      <c r="HR307" s="9"/>
      <c r="HS307" s="9"/>
      <c r="HT307" s="9"/>
      <c r="HU307" s="9"/>
      <c r="HV307" s="9"/>
      <c r="HW307" s="9"/>
      <c r="HX307" s="9"/>
      <c r="HY307" s="9"/>
      <c r="HZ307" s="9"/>
      <c r="IA307" s="9"/>
      <c r="IB307" s="9"/>
      <c r="IC307" s="9"/>
      <c r="ID307" s="9"/>
      <c r="IE307" s="9"/>
      <c r="IF307" s="9"/>
      <c r="IG307" s="9"/>
      <c r="IH307" s="9"/>
      <c r="II307" s="9"/>
      <c r="IJ307" s="9"/>
      <c r="IK307" s="9"/>
      <c r="IL307" s="9"/>
      <c r="IM307" s="9"/>
      <c r="IN307" s="9"/>
      <c r="IO307" s="9"/>
      <c r="IP307" s="9"/>
      <c r="IQ307" s="9"/>
      <c r="IR307" s="9"/>
      <c r="IS307" s="9"/>
      <c r="IT307" s="9"/>
      <c r="IU307" s="9"/>
      <c r="IV307" s="9"/>
    </row>
    <row r="308" s="6" customFormat="1" ht="15" customHeight="1" spans="1:256">
      <c r="A308" s="24">
        <v>63</v>
      </c>
      <c r="B308" s="48" t="s">
        <v>220</v>
      </c>
      <c r="C308" s="61" t="s">
        <v>842</v>
      </c>
      <c r="D308" s="210" t="s">
        <v>843</v>
      </c>
      <c r="E308" s="48" t="s">
        <v>158</v>
      </c>
      <c r="F308" s="48">
        <v>34</v>
      </c>
      <c r="G308" s="48">
        <v>18662068698</v>
      </c>
      <c r="H308" s="54">
        <v>45350</v>
      </c>
      <c r="I308" s="60"/>
      <c r="J308" s="48" t="s">
        <v>316</v>
      </c>
      <c r="K308" s="48" t="s">
        <v>443</v>
      </c>
      <c r="L308" s="47" t="str">
        <f ca="1" t="shared" si="43"/>
        <v>2年1个月</v>
      </c>
      <c r="M308" s="48" t="s">
        <v>154</v>
      </c>
      <c r="N308" s="60"/>
      <c r="O308" s="48" t="s">
        <v>303</v>
      </c>
      <c r="P308" s="30" t="s">
        <v>358</v>
      </c>
      <c r="Q308" s="46" t="s">
        <v>111</v>
      </c>
      <c r="R308" s="48"/>
      <c r="S308" s="42" t="s">
        <v>111</v>
      </c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  <c r="CQ308" s="9"/>
      <c r="CR308" s="9"/>
      <c r="CS308" s="9"/>
      <c r="CT308" s="9"/>
      <c r="CU308" s="9"/>
      <c r="CV308" s="9"/>
      <c r="CW308" s="9"/>
      <c r="CX308" s="9"/>
      <c r="CY308" s="9"/>
      <c r="CZ308" s="9"/>
      <c r="DA308" s="9"/>
      <c r="DB308" s="9"/>
      <c r="DC308" s="9"/>
      <c r="DD308" s="9"/>
      <c r="DE308" s="9"/>
      <c r="DF308" s="9"/>
      <c r="DG308" s="9"/>
      <c r="DH308" s="9"/>
      <c r="DI308" s="9"/>
      <c r="DJ308" s="9"/>
      <c r="DK308" s="9"/>
      <c r="DL308" s="9"/>
      <c r="DM308" s="9"/>
      <c r="DN308" s="9"/>
      <c r="DO308" s="9"/>
      <c r="DP308" s="9"/>
      <c r="DQ308" s="9"/>
      <c r="DR308" s="9"/>
      <c r="DS308" s="9"/>
      <c r="DT308" s="9"/>
      <c r="DU308" s="9"/>
      <c r="DV308" s="9"/>
      <c r="DW308" s="9"/>
      <c r="DX308" s="9"/>
      <c r="DY308" s="9"/>
      <c r="DZ308" s="9"/>
      <c r="EA308" s="9"/>
      <c r="EB308" s="9"/>
      <c r="EC308" s="9"/>
      <c r="ED308" s="9"/>
      <c r="EE308" s="9"/>
      <c r="EF308" s="9"/>
      <c r="EG308" s="9"/>
      <c r="EH308" s="9"/>
      <c r="EI308" s="9"/>
      <c r="EJ308" s="9"/>
      <c r="EK308" s="9"/>
      <c r="EL308" s="9"/>
      <c r="EM308" s="9"/>
      <c r="EN308" s="9"/>
      <c r="EO308" s="9"/>
      <c r="EP308" s="9"/>
      <c r="EQ308" s="9"/>
      <c r="ER308" s="9"/>
      <c r="ES308" s="9"/>
      <c r="ET308" s="9"/>
      <c r="EU308" s="9"/>
      <c r="EV308" s="9"/>
      <c r="EW308" s="9"/>
      <c r="EX308" s="9"/>
      <c r="EY308" s="9"/>
      <c r="EZ308" s="9"/>
      <c r="FA308" s="9"/>
      <c r="FB308" s="9"/>
      <c r="FC308" s="9"/>
      <c r="FD308" s="9"/>
      <c r="FE308" s="9"/>
      <c r="FF308" s="9"/>
      <c r="FG308" s="9"/>
      <c r="FH308" s="9"/>
      <c r="FI308" s="9"/>
      <c r="FJ308" s="9"/>
      <c r="FK308" s="9"/>
      <c r="FL308" s="9"/>
      <c r="FM308" s="9"/>
      <c r="FN308" s="9"/>
      <c r="FO308" s="9"/>
      <c r="FP308" s="9"/>
      <c r="FQ308" s="9"/>
      <c r="FR308" s="9"/>
      <c r="FS308" s="9"/>
      <c r="FT308" s="9"/>
      <c r="FU308" s="9"/>
      <c r="FV308" s="9"/>
      <c r="FW308" s="9"/>
      <c r="FX308" s="9"/>
      <c r="FY308" s="9"/>
      <c r="FZ308" s="9"/>
      <c r="GA308" s="9"/>
      <c r="GB308" s="9"/>
      <c r="GC308" s="9"/>
      <c r="GD308" s="9"/>
      <c r="GE308" s="9"/>
      <c r="GF308" s="9"/>
      <c r="GG308" s="9"/>
      <c r="GH308" s="9"/>
      <c r="GI308" s="9"/>
      <c r="GJ308" s="9"/>
      <c r="GK308" s="9"/>
      <c r="GL308" s="9"/>
      <c r="GM308" s="9"/>
      <c r="GN308" s="9"/>
      <c r="GO308" s="9"/>
      <c r="GP308" s="9"/>
      <c r="GQ308" s="9"/>
      <c r="GR308" s="9"/>
      <c r="GS308" s="9"/>
      <c r="GT308" s="9"/>
      <c r="GU308" s="9"/>
      <c r="GV308" s="9"/>
      <c r="GW308" s="9"/>
      <c r="GX308" s="9"/>
      <c r="GY308" s="9"/>
      <c r="GZ308" s="9"/>
      <c r="HA308" s="9"/>
      <c r="HB308" s="9"/>
      <c r="HC308" s="9"/>
      <c r="HD308" s="9"/>
      <c r="HE308" s="9"/>
      <c r="HF308" s="9"/>
      <c r="HG308" s="9"/>
      <c r="HH308" s="9"/>
      <c r="HI308" s="9"/>
      <c r="HJ308" s="9"/>
      <c r="HK308" s="9"/>
      <c r="HL308" s="9"/>
      <c r="HM308" s="9"/>
      <c r="HN308" s="9"/>
      <c r="HO308" s="9"/>
      <c r="HP308" s="9"/>
      <c r="HQ308" s="9"/>
      <c r="HR308" s="9"/>
      <c r="HS308" s="9"/>
      <c r="HT308" s="9"/>
      <c r="HU308" s="9"/>
      <c r="HV308" s="9"/>
      <c r="HW308" s="9"/>
      <c r="HX308" s="9"/>
      <c r="HY308" s="9"/>
      <c r="HZ308" s="9"/>
      <c r="IA308" s="9"/>
      <c r="IB308" s="9"/>
      <c r="IC308" s="9"/>
      <c r="ID308" s="9"/>
      <c r="IE308" s="9"/>
      <c r="IF308" s="9"/>
      <c r="IG308" s="9"/>
      <c r="IH308" s="9"/>
      <c r="II308" s="9"/>
      <c r="IJ308" s="9"/>
      <c r="IK308" s="9"/>
      <c r="IL308" s="9"/>
      <c r="IM308" s="9"/>
      <c r="IN308" s="9"/>
      <c r="IO308" s="9"/>
      <c r="IP308" s="9"/>
      <c r="IQ308" s="9"/>
      <c r="IR308" s="9"/>
      <c r="IS308" s="9"/>
      <c r="IT308" s="9"/>
      <c r="IU308" s="9"/>
      <c r="IV308" s="9"/>
    </row>
    <row r="309" s="5" customFormat="1" ht="15" customHeight="1" spans="1:256">
      <c r="A309" s="24">
        <v>15</v>
      </c>
      <c r="B309" s="25" t="s">
        <v>844</v>
      </c>
      <c r="C309" s="25" t="s">
        <v>845</v>
      </c>
      <c r="D309" s="205" t="s">
        <v>846</v>
      </c>
      <c r="E309" s="25" t="str">
        <f>IF(MOD(MID(D309,17,1),2),"男","女")</f>
        <v>男</v>
      </c>
      <c r="F309" s="24">
        <f ca="1">YEAR(NOW())-MID(D309,7,4)</f>
        <v>53</v>
      </c>
      <c r="G309" s="26">
        <v>13914606049</v>
      </c>
      <c r="H309" s="27">
        <v>43253</v>
      </c>
      <c r="I309" s="27"/>
      <c r="J309" s="25" t="s">
        <v>22</v>
      </c>
      <c r="K309" s="25" t="s">
        <v>100</v>
      </c>
      <c r="L309" s="25" t="str">
        <f ca="1" t="shared" si="43"/>
        <v>7年10个月</v>
      </c>
      <c r="M309" s="25" t="s">
        <v>154</v>
      </c>
      <c r="N309" s="24"/>
      <c r="O309" s="43"/>
      <c r="P309" s="25" t="s">
        <v>249</v>
      </c>
      <c r="Q309" s="46" t="s">
        <v>111</v>
      </c>
      <c r="R309" s="42" t="s">
        <v>397</v>
      </c>
      <c r="S309" s="42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/>
      <c r="BY309" s="15"/>
      <c r="BZ309" s="15"/>
      <c r="CA309" s="15"/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5"/>
      <c r="DL309" s="15"/>
      <c r="DM309" s="15"/>
      <c r="DN309" s="15"/>
      <c r="DO309" s="15"/>
      <c r="DP309" s="15"/>
      <c r="DQ309" s="15"/>
      <c r="DR309" s="15"/>
      <c r="DS309" s="15"/>
      <c r="DT309" s="15"/>
      <c r="DU309" s="15"/>
      <c r="DV309" s="15"/>
      <c r="DW309" s="15"/>
      <c r="DX309" s="15"/>
      <c r="DY309" s="15"/>
      <c r="DZ309" s="15"/>
      <c r="EA309" s="15"/>
      <c r="EB309" s="15"/>
      <c r="EC309" s="15"/>
      <c r="ED309" s="15"/>
      <c r="EE309" s="15"/>
      <c r="EF309" s="15"/>
      <c r="EG309" s="15"/>
      <c r="EH309" s="15"/>
      <c r="EI309" s="15"/>
      <c r="EJ309" s="15"/>
      <c r="EK309" s="15"/>
      <c r="EL309" s="15"/>
      <c r="EM309" s="15"/>
      <c r="EN309" s="15"/>
      <c r="EO309" s="15"/>
      <c r="EP309" s="15"/>
      <c r="EQ309" s="15"/>
      <c r="ER309" s="15"/>
      <c r="ES309" s="15"/>
      <c r="ET309" s="15"/>
      <c r="EU309" s="15"/>
      <c r="EV309" s="15"/>
      <c r="EW309" s="15"/>
      <c r="EX309" s="15"/>
      <c r="EY309" s="15"/>
      <c r="EZ309" s="15"/>
      <c r="FA309" s="15"/>
      <c r="FB309" s="15"/>
      <c r="FC309" s="15"/>
      <c r="FD309" s="15"/>
      <c r="FE309" s="15"/>
      <c r="FF309" s="15"/>
      <c r="FG309" s="15"/>
      <c r="FH309" s="15"/>
      <c r="FI309" s="15"/>
      <c r="FJ309" s="15"/>
      <c r="FK309" s="15"/>
      <c r="FL309" s="15"/>
      <c r="FM309" s="15"/>
      <c r="FN309" s="15"/>
      <c r="FO309" s="15"/>
      <c r="FP309" s="15"/>
      <c r="FQ309" s="15"/>
      <c r="FR309" s="15"/>
      <c r="FS309" s="15"/>
      <c r="FT309" s="15"/>
      <c r="FU309" s="15"/>
      <c r="FV309" s="15"/>
      <c r="FW309" s="15"/>
      <c r="FX309" s="15"/>
      <c r="FY309" s="15"/>
      <c r="FZ309" s="15"/>
      <c r="GA309" s="15"/>
      <c r="GB309" s="15"/>
      <c r="GC309" s="15"/>
      <c r="GD309" s="15"/>
      <c r="GE309" s="15"/>
      <c r="GF309" s="15"/>
      <c r="GG309" s="15"/>
      <c r="GH309" s="15"/>
      <c r="GI309" s="15"/>
      <c r="GJ309" s="15"/>
      <c r="GK309" s="15"/>
      <c r="GL309" s="15"/>
      <c r="GM309" s="15"/>
      <c r="GN309" s="15"/>
      <c r="GO309" s="15"/>
      <c r="GP309" s="15"/>
      <c r="GQ309" s="15"/>
      <c r="GR309" s="15"/>
      <c r="GS309" s="15"/>
      <c r="GT309" s="15"/>
      <c r="GU309" s="15"/>
      <c r="GV309" s="15"/>
      <c r="GW309" s="15"/>
      <c r="GX309" s="15"/>
      <c r="GY309" s="15"/>
      <c r="GZ309" s="15"/>
      <c r="HA309" s="15"/>
      <c r="HB309" s="15"/>
      <c r="HC309" s="15"/>
      <c r="HD309" s="15"/>
      <c r="HE309" s="15"/>
      <c r="HF309" s="15"/>
      <c r="HG309" s="15"/>
      <c r="HH309" s="15"/>
      <c r="HI309" s="15"/>
      <c r="HJ309" s="15"/>
      <c r="HK309" s="15"/>
      <c r="HL309" s="15"/>
      <c r="HM309" s="15"/>
      <c r="HN309" s="15"/>
      <c r="HO309" s="15"/>
      <c r="HP309" s="15"/>
      <c r="HQ309" s="15"/>
      <c r="HR309" s="15"/>
      <c r="HS309" s="15"/>
      <c r="HT309" s="15"/>
      <c r="HU309" s="15"/>
      <c r="HV309" s="15"/>
      <c r="HW309" s="15"/>
      <c r="HX309" s="15"/>
      <c r="HY309" s="15"/>
      <c r="HZ309" s="15"/>
      <c r="IA309" s="15"/>
      <c r="IB309" s="15"/>
      <c r="IC309" s="15"/>
      <c r="ID309" s="15"/>
      <c r="IE309" s="15"/>
      <c r="IF309" s="15"/>
      <c r="IG309" s="15"/>
      <c r="IH309" s="15"/>
      <c r="II309" s="15"/>
      <c r="IJ309" s="15"/>
      <c r="IK309" s="15"/>
      <c r="IL309" s="15"/>
      <c r="IM309" s="15"/>
      <c r="IN309" s="15"/>
      <c r="IO309" s="15"/>
      <c r="IP309" s="15"/>
      <c r="IQ309" s="15"/>
      <c r="IR309" s="15"/>
      <c r="IS309" s="15"/>
      <c r="IT309" s="15"/>
      <c r="IU309" s="15"/>
      <c r="IV309" s="15"/>
    </row>
    <row r="310" s="6" customFormat="1" ht="15" customHeight="1" spans="1:256">
      <c r="A310" s="24">
        <v>70</v>
      </c>
      <c r="B310" s="48" t="s">
        <v>819</v>
      </c>
      <c r="C310" s="64" t="s">
        <v>847</v>
      </c>
      <c r="D310" s="223" t="s">
        <v>848</v>
      </c>
      <c r="E310" s="64" t="s">
        <v>152</v>
      </c>
      <c r="F310" s="64">
        <v>55</v>
      </c>
      <c r="G310" s="64">
        <v>13851170420</v>
      </c>
      <c r="H310" s="90">
        <v>45433</v>
      </c>
      <c r="I310" s="60"/>
      <c r="J310" s="48" t="s">
        <v>22</v>
      </c>
      <c r="K310" s="25" t="s">
        <v>452</v>
      </c>
      <c r="L310" s="25" t="str">
        <f ca="1" t="shared" si="43"/>
        <v>1年10个月</v>
      </c>
      <c r="M310" s="60"/>
      <c r="N310" s="48"/>
      <c r="O310" s="48" t="s">
        <v>303</v>
      </c>
      <c r="P310" s="48"/>
      <c r="R310" s="48"/>
      <c r="S310" s="48" t="s">
        <v>397</v>
      </c>
      <c r="T310" s="48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  <c r="CO310" s="9"/>
      <c r="CP310" s="9"/>
      <c r="CQ310" s="9"/>
      <c r="CR310" s="9"/>
      <c r="CS310" s="9"/>
      <c r="CT310" s="9"/>
      <c r="CU310" s="9"/>
      <c r="CV310" s="9"/>
      <c r="CW310" s="9"/>
      <c r="CX310" s="9"/>
      <c r="CY310" s="9"/>
      <c r="CZ310" s="9"/>
      <c r="DA310" s="9"/>
      <c r="DB310" s="9"/>
      <c r="DC310" s="9"/>
      <c r="DD310" s="9"/>
      <c r="DE310" s="9"/>
      <c r="DF310" s="9"/>
      <c r="DG310" s="9"/>
      <c r="DH310" s="9"/>
      <c r="DI310" s="9"/>
      <c r="DJ310" s="9"/>
      <c r="DK310" s="9"/>
      <c r="DL310" s="9"/>
      <c r="DM310" s="9"/>
      <c r="DN310" s="9"/>
      <c r="DO310" s="9"/>
      <c r="DP310" s="9"/>
      <c r="DQ310" s="9"/>
      <c r="DR310" s="9"/>
      <c r="DS310" s="9"/>
      <c r="DT310" s="9"/>
      <c r="DU310" s="9"/>
      <c r="DV310" s="9"/>
      <c r="DW310" s="9"/>
      <c r="DX310" s="9"/>
      <c r="DY310" s="9"/>
      <c r="DZ310" s="9"/>
      <c r="EA310" s="9"/>
      <c r="EB310" s="9"/>
      <c r="EC310" s="9"/>
      <c r="ED310" s="9"/>
      <c r="EE310" s="9"/>
      <c r="EF310" s="9"/>
      <c r="EG310" s="9"/>
      <c r="EH310" s="9"/>
      <c r="EI310" s="9"/>
      <c r="EJ310" s="9"/>
      <c r="EK310" s="9"/>
      <c r="EL310" s="9"/>
      <c r="EM310" s="9"/>
      <c r="EN310" s="9"/>
      <c r="EO310" s="9"/>
      <c r="EP310" s="9"/>
      <c r="EQ310" s="9"/>
      <c r="ER310" s="9"/>
      <c r="ES310" s="9"/>
      <c r="ET310" s="9"/>
      <c r="EU310" s="9"/>
      <c r="EV310" s="9"/>
      <c r="EW310" s="9"/>
      <c r="EX310" s="9"/>
      <c r="EY310" s="9"/>
      <c r="EZ310" s="9"/>
      <c r="FA310" s="9"/>
      <c r="FB310" s="9"/>
      <c r="FC310" s="9"/>
      <c r="FD310" s="9"/>
      <c r="FE310" s="9"/>
      <c r="FF310" s="9"/>
      <c r="FG310" s="9"/>
      <c r="FH310" s="9"/>
      <c r="FI310" s="9"/>
      <c r="FJ310" s="9"/>
      <c r="FK310" s="9"/>
      <c r="FL310" s="9"/>
      <c r="FM310" s="9"/>
      <c r="FN310" s="9"/>
      <c r="FO310" s="9"/>
      <c r="FP310" s="9"/>
      <c r="FQ310" s="9"/>
      <c r="FR310" s="9"/>
      <c r="FS310" s="9"/>
      <c r="FT310" s="9"/>
      <c r="FU310" s="9"/>
      <c r="FV310" s="9"/>
      <c r="FW310" s="9"/>
      <c r="FX310" s="9"/>
      <c r="FY310" s="9"/>
      <c r="FZ310" s="9"/>
      <c r="GA310" s="9"/>
      <c r="GB310" s="9"/>
      <c r="GC310" s="9"/>
      <c r="GD310" s="9"/>
      <c r="GE310" s="9"/>
      <c r="GF310" s="9"/>
      <c r="GG310" s="9"/>
      <c r="GH310" s="9"/>
      <c r="GI310" s="9"/>
      <c r="GJ310" s="9"/>
      <c r="GK310" s="9"/>
      <c r="GL310" s="9"/>
      <c r="GM310" s="9"/>
      <c r="GN310" s="9"/>
      <c r="GO310" s="9"/>
      <c r="GP310" s="9"/>
      <c r="GQ310" s="9"/>
      <c r="GR310" s="9"/>
      <c r="GS310" s="9"/>
      <c r="GT310" s="9"/>
      <c r="GU310" s="9"/>
      <c r="GV310" s="9"/>
      <c r="GW310" s="9"/>
      <c r="GX310" s="9"/>
      <c r="GY310" s="9"/>
      <c r="GZ310" s="9"/>
      <c r="HA310" s="9"/>
      <c r="HB310" s="9"/>
      <c r="HC310" s="9"/>
      <c r="HD310" s="9"/>
      <c r="HE310" s="9"/>
      <c r="HF310" s="9"/>
      <c r="HG310" s="9"/>
      <c r="HH310" s="9"/>
      <c r="HI310" s="9"/>
      <c r="HJ310" s="9"/>
      <c r="HK310" s="9"/>
      <c r="HL310" s="9"/>
      <c r="HM310" s="9"/>
      <c r="HN310" s="9"/>
      <c r="HO310" s="9"/>
      <c r="HP310" s="9"/>
      <c r="HQ310" s="9"/>
      <c r="HR310" s="9"/>
      <c r="HS310" s="9"/>
      <c r="HT310" s="9"/>
      <c r="HU310" s="9"/>
      <c r="HV310" s="9"/>
      <c r="HW310" s="9"/>
      <c r="HX310" s="9"/>
      <c r="HY310" s="9"/>
      <c r="HZ310" s="9"/>
      <c r="IA310" s="9"/>
      <c r="IB310" s="9"/>
      <c r="IC310" s="9"/>
      <c r="ID310" s="9"/>
      <c r="IE310" s="9"/>
      <c r="IF310" s="9"/>
      <c r="IG310" s="9"/>
      <c r="IH310" s="9"/>
      <c r="II310" s="9"/>
      <c r="IJ310" s="9"/>
      <c r="IK310" s="9"/>
      <c r="IL310" s="9"/>
      <c r="IM310" s="9"/>
      <c r="IN310" s="9"/>
      <c r="IO310" s="9"/>
      <c r="IP310" s="9"/>
      <c r="IQ310" s="9"/>
      <c r="IR310" s="9"/>
      <c r="IS310" s="9"/>
      <c r="IT310" s="9"/>
      <c r="IU310" s="9"/>
      <c r="IV310" s="9"/>
    </row>
    <row r="311" customFormat="1" ht="15" customHeight="1" spans="1:256">
      <c r="A311" s="24">
        <v>95</v>
      </c>
      <c r="B311" s="141" t="s">
        <v>836</v>
      </c>
      <c r="C311" s="80" t="s">
        <v>849</v>
      </c>
      <c r="D311" s="228" t="s">
        <v>850</v>
      </c>
      <c r="E311" s="80" t="s">
        <v>152</v>
      </c>
      <c r="F311" s="80">
        <v>45</v>
      </c>
      <c r="G311" s="80">
        <v>17802684509</v>
      </c>
      <c r="H311" s="136">
        <v>45824</v>
      </c>
      <c r="I311" s="80"/>
      <c r="J311" s="80" t="s">
        <v>22</v>
      </c>
      <c r="K311" s="80" t="s">
        <v>115</v>
      </c>
      <c r="L311" s="47" t="str">
        <f ca="1" t="shared" si="43"/>
        <v>0年9个月</v>
      </c>
      <c r="N311" s="10"/>
      <c r="O311" s="10"/>
      <c r="P311" s="10"/>
      <c r="Q311" s="8"/>
      <c r="R311" s="8"/>
      <c r="S311" s="8"/>
    </row>
    <row r="312" customFormat="1" ht="15" customHeight="1" spans="1:256">
      <c r="A312" s="24">
        <v>101</v>
      </c>
      <c r="B312" s="25" t="s">
        <v>851</v>
      </c>
      <c r="C312" s="142" t="s">
        <v>852</v>
      </c>
      <c r="D312" s="230" t="s">
        <v>853</v>
      </c>
      <c r="E312" s="142" t="s">
        <v>152</v>
      </c>
      <c r="F312" s="142">
        <v>42</v>
      </c>
      <c r="G312" s="142">
        <v>15061660725</v>
      </c>
      <c r="H312" s="143">
        <v>45887</v>
      </c>
      <c r="I312" s="142"/>
      <c r="J312" s="142" t="s">
        <v>22</v>
      </c>
      <c r="K312" s="142" t="s">
        <v>180</v>
      </c>
      <c r="L312" s="25" t="str">
        <f ca="1" t="shared" si="43"/>
        <v>0年7个月</v>
      </c>
      <c r="M312" s="144"/>
      <c r="O312" s="144"/>
      <c r="P312" s="144"/>
      <c r="Q312" s="144"/>
      <c r="R312" s="144"/>
      <c r="S312" s="145"/>
    </row>
    <row r="313" s="5" customFormat="1" ht="15" customHeight="1" spans="1:256">
      <c r="A313" s="24">
        <v>29</v>
      </c>
      <c r="B313" s="25" t="s">
        <v>854</v>
      </c>
      <c r="C313" s="25" t="s">
        <v>855</v>
      </c>
      <c r="D313" s="205" t="s">
        <v>856</v>
      </c>
      <c r="E313" s="25" t="str">
        <f>IF(MOD(MID(D313,17,1),2),"男","女")</f>
        <v>女</v>
      </c>
      <c r="F313" s="24">
        <f ca="1">YEAR(NOW())-MID(D313,7,4)</f>
        <v>36</v>
      </c>
      <c r="G313" s="26">
        <v>18361653060</v>
      </c>
      <c r="H313" s="27">
        <v>44167</v>
      </c>
      <c r="I313" s="27"/>
      <c r="J313" s="25" t="s">
        <v>857</v>
      </c>
      <c r="K313" s="25" t="s">
        <v>858</v>
      </c>
      <c r="L313" s="25" t="str">
        <f ca="1" t="shared" si="43"/>
        <v>5年4个月</v>
      </c>
      <c r="M313" s="25" t="s">
        <v>154</v>
      </c>
      <c r="N313" s="24"/>
      <c r="O313" s="25" t="s">
        <v>249</v>
      </c>
      <c r="P313" s="46" t="s">
        <v>111</v>
      </c>
      <c r="Q313" s="42" t="s">
        <v>397</v>
      </c>
      <c r="R313" s="42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/>
      <c r="BY313" s="15"/>
      <c r="BZ313" s="15"/>
      <c r="CA313" s="15"/>
      <c r="CB313" s="15"/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  <c r="DC313" s="15"/>
      <c r="DD313" s="15"/>
      <c r="DE313" s="15"/>
      <c r="DF313" s="15"/>
      <c r="DG313" s="15"/>
      <c r="DH313" s="15"/>
      <c r="DI313" s="15"/>
      <c r="DJ313" s="15"/>
      <c r="DK313" s="15"/>
      <c r="DL313" s="15"/>
      <c r="DM313" s="15"/>
      <c r="DN313" s="15"/>
      <c r="DO313" s="15"/>
      <c r="DP313" s="15"/>
      <c r="DQ313" s="15"/>
      <c r="DR313" s="15"/>
      <c r="DS313" s="15"/>
      <c r="DT313" s="15"/>
      <c r="DU313" s="15"/>
      <c r="DV313" s="15"/>
      <c r="DW313" s="15"/>
      <c r="DX313" s="15"/>
      <c r="DY313" s="15"/>
      <c r="DZ313" s="15"/>
      <c r="EA313" s="15"/>
      <c r="EB313" s="15"/>
      <c r="EC313" s="15"/>
      <c r="ED313" s="15"/>
      <c r="EE313" s="15"/>
      <c r="EF313" s="15"/>
      <c r="EG313" s="15"/>
      <c r="EH313" s="15"/>
      <c r="EI313" s="15"/>
      <c r="EJ313" s="15"/>
      <c r="EK313" s="15"/>
      <c r="EL313" s="15"/>
      <c r="EM313" s="15"/>
      <c r="EN313" s="15"/>
      <c r="EO313" s="15"/>
      <c r="EP313" s="15"/>
      <c r="EQ313" s="15"/>
      <c r="ER313" s="15"/>
      <c r="ES313" s="15"/>
      <c r="ET313" s="15"/>
      <c r="EU313" s="15"/>
      <c r="EV313" s="15"/>
      <c r="EW313" s="15"/>
      <c r="EX313" s="15"/>
      <c r="EY313" s="15"/>
      <c r="EZ313" s="15"/>
      <c r="FA313" s="15"/>
      <c r="FB313" s="15"/>
      <c r="FC313" s="15"/>
      <c r="FD313" s="15"/>
      <c r="FE313" s="15"/>
      <c r="FF313" s="15"/>
      <c r="FG313" s="15"/>
      <c r="FH313" s="15"/>
      <c r="FI313" s="15"/>
      <c r="FJ313" s="15"/>
      <c r="FK313" s="15"/>
      <c r="FL313" s="15"/>
      <c r="FM313" s="15"/>
      <c r="FN313" s="15"/>
      <c r="FO313" s="15"/>
      <c r="FP313" s="15"/>
      <c r="FQ313" s="15"/>
      <c r="FR313" s="15"/>
      <c r="FS313" s="15"/>
      <c r="FT313" s="15"/>
      <c r="FU313" s="15"/>
      <c r="FV313" s="15"/>
      <c r="FW313" s="15"/>
      <c r="FX313" s="15"/>
      <c r="FY313" s="15"/>
      <c r="FZ313" s="15"/>
      <c r="GA313" s="15"/>
      <c r="GB313" s="15"/>
      <c r="GC313" s="15"/>
      <c r="GD313" s="15"/>
      <c r="GE313" s="15"/>
      <c r="GF313" s="15"/>
      <c r="GG313" s="15"/>
      <c r="GH313" s="15"/>
      <c r="GI313" s="15"/>
      <c r="GJ313" s="15"/>
      <c r="GK313" s="15"/>
      <c r="GL313" s="15"/>
      <c r="GM313" s="15"/>
      <c r="GN313" s="15"/>
      <c r="GO313" s="15"/>
      <c r="GP313" s="15"/>
      <c r="GQ313" s="15"/>
      <c r="GR313" s="15"/>
      <c r="GS313" s="15"/>
      <c r="GT313" s="15"/>
      <c r="GU313" s="15"/>
      <c r="GV313" s="15"/>
      <c r="GW313" s="15"/>
      <c r="GX313" s="15"/>
      <c r="GY313" s="15"/>
      <c r="GZ313" s="15"/>
      <c r="HA313" s="15"/>
      <c r="HB313" s="15"/>
      <c r="HC313" s="15"/>
      <c r="HD313" s="15"/>
      <c r="HE313" s="15"/>
      <c r="HF313" s="15"/>
      <c r="HG313" s="15"/>
      <c r="HH313" s="15"/>
      <c r="HI313" s="15"/>
      <c r="HJ313" s="15"/>
      <c r="HK313" s="15"/>
      <c r="HL313" s="15"/>
      <c r="HM313" s="15"/>
      <c r="HN313" s="15"/>
      <c r="HO313" s="15"/>
      <c r="HP313" s="15"/>
      <c r="HQ313" s="15"/>
      <c r="HR313" s="15"/>
      <c r="HS313" s="15"/>
      <c r="HT313" s="15"/>
      <c r="HU313" s="15"/>
      <c r="HV313" s="15"/>
      <c r="HW313" s="15"/>
      <c r="HX313" s="15"/>
      <c r="HY313" s="15"/>
      <c r="HZ313" s="15"/>
      <c r="IA313" s="15"/>
      <c r="IB313" s="15"/>
      <c r="IC313" s="15"/>
      <c r="ID313" s="15"/>
      <c r="IE313" s="15"/>
      <c r="IF313" s="15"/>
      <c r="IG313" s="15"/>
      <c r="IH313" s="15"/>
      <c r="II313" s="15"/>
      <c r="IJ313" s="15"/>
      <c r="IK313" s="15"/>
      <c r="IL313" s="15"/>
      <c r="IM313" s="15"/>
      <c r="IN313" s="15"/>
      <c r="IO313" s="15"/>
      <c r="IP313" s="15"/>
      <c r="IQ313" s="15"/>
      <c r="IR313" s="15"/>
      <c r="IS313" s="15"/>
      <c r="IT313" s="15"/>
      <c r="IU313" s="15"/>
    </row>
    <row r="314" s="12" customFormat="1" ht="15" customHeight="1" spans="1:256">
      <c r="A314" s="24">
        <v>83</v>
      </c>
      <c r="B314" s="146" t="s">
        <v>859</v>
      </c>
      <c r="C314" s="75" t="s">
        <v>860</v>
      </c>
      <c r="D314" s="217" t="s">
        <v>861</v>
      </c>
      <c r="E314" s="75" t="s">
        <v>158</v>
      </c>
      <c r="F314" s="76">
        <v>38</v>
      </c>
      <c r="G314" s="76">
        <v>15267300180</v>
      </c>
      <c r="H314" s="77">
        <v>45698</v>
      </c>
      <c r="I314" s="147"/>
      <c r="J314" s="148" t="s">
        <v>122</v>
      </c>
      <c r="K314" s="61"/>
      <c r="L314" s="61" t="str">
        <f ca="1" t="shared" si="43"/>
        <v>1年2个月</v>
      </c>
      <c r="M314" s="149"/>
      <c r="N314" s="149"/>
      <c r="O314" s="149"/>
      <c r="P314" s="149"/>
      <c r="Q314" s="149"/>
      <c r="R314" s="149"/>
    </row>
    <row r="315" s="6" customFormat="1" spans="1:256">
      <c r="A315" s="24">
        <v>56</v>
      </c>
      <c r="B315" s="25" t="s">
        <v>173</v>
      </c>
      <c r="C315" s="25" t="s">
        <v>182</v>
      </c>
      <c r="D315" s="205" t="s">
        <v>183</v>
      </c>
      <c r="E315" s="25" t="str">
        <f>IF(MOD(MID(D315,17,1),2),"男","女")</f>
        <v>女</v>
      </c>
      <c r="F315" s="24">
        <f ca="1">YEAR(NOW())-MID(D315,7,4)</f>
        <v>55</v>
      </c>
      <c r="G315" s="26">
        <v>15895155820</v>
      </c>
      <c r="H315" s="27">
        <v>45146</v>
      </c>
      <c r="I315" s="27"/>
      <c r="J315" s="25" t="s">
        <v>22</v>
      </c>
      <c r="K315" s="25" t="s">
        <v>100</v>
      </c>
      <c r="L315" s="25" t="str">
        <f ca="1" t="shared" si="43"/>
        <v>2年8个月</v>
      </c>
      <c r="M315" s="25" t="s">
        <v>154</v>
      </c>
      <c r="N315" s="48"/>
      <c r="O315" s="60"/>
      <c r="P315" s="48"/>
      <c r="Q315" s="48"/>
      <c r="R315" s="48"/>
      <c r="S315" s="48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  <c r="CO315" s="9"/>
      <c r="CP315" s="9"/>
      <c r="CQ315" s="9"/>
      <c r="CR315" s="9"/>
      <c r="CS315" s="9"/>
      <c r="CT315" s="9"/>
      <c r="CU315" s="9"/>
      <c r="CV315" s="9"/>
      <c r="CW315" s="9"/>
      <c r="CX315" s="9"/>
      <c r="CY315" s="9"/>
      <c r="CZ315" s="9"/>
      <c r="DA315" s="9"/>
      <c r="DB315" s="9"/>
      <c r="DC315" s="9"/>
      <c r="DD315" s="9"/>
      <c r="DE315" s="9"/>
      <c r="DF315" s="9"/>
      <c r="DG315" s="9"/>
      <c r="DH315" s="9"/>
      <c r="DI315" s="9"/>
      <c r="DJ315" s="9"/>
      <c r="DK315" s="9"/>
      <c r="DL315" s="9"/>
      <c r="DM315" s="9"/>
      <c r="DN315" s="9"/>
      <c r="DO315" s="9"/>
      <c r="DP315" s="9"/>
      <c r="DQ315" s="9"/>
      <c r="DR315" s="9"/>
      <c r="DS315" s="9"/>
      <c r="DT315" s="9"/>
      <c r="DU315" s="9"/>
      <c r="DV315" s="9"/>
      <c r="DW315" s="9"/>
      <c r="DX315" s="9"/>
      <c r="DY315" s="9"/>
      <c r="DZ315" s="9"/>
      <c r="EA315" s="9"/>
      <c r="EB315" s="9"/>
      <c r="EC315" s="9"/>
      <c r="ED315" s="9"/>
      <c r="EE315" s="9"/>
      <c r="EF315" s="9"/>
      <c r="EG315" s="9"/>
      <c r="EH315" s="9"/>
      <c r="EI315" s="9"/>
      <c r="EJ315" s="9"/>
      <c r="EK315" s="9"/>
      <c r="EL315" s="9"/>
      <c r="EM315" s="9"/>
      <c r="EN315" s="9"/>
      <c r="EO315" s="9"/>
      <c r="EP315" s="9"/>
      <c r="EQ315" s="9"/>
      <c r="ER315" s="9"/>
      <c r="ES315" s="9"/>
      <c r="ET315" s="9"/>
      <c r="EU315" s="9"/>
      <c r="EV315" s="9"/>
      <c r="EW315" s="9"/>
      <c r="EX315" s="9"/>
      <c r="EY315" s="9"/>
      <c r="EZ315" s="9"/>
      <c r="FA315" s="9"/>
      <c r="FB315" s="9"/>
      <c r="FC315" s="9"/>
      <c r="FD315" s="9"/>
      <c r="FE315" s="9"/>
      <c r="FF315" s="9"/>
      <c r="FG315" s="9"/>
      <c r="FH315" s="9"/>
      <c r="FI315" s="9"/>
      <c r="FJ315" s="9"/>
      <c r="FK315" s="9"/>
      <c r="FL315" s="9"/>
      <c r="FM315" s="9"/>
      <c r="FN315" s="9"/>
      <c r="FO315" s="9"/>
      <c r="FP315" s="9"/>
      <c r="FQ315" s="9"/>
      <c r="FR315" s="9"/>
      <c r="FS315" s="9"/>
      <c r="FT315" s="9"/>
      <c r="FU315" s="9"/>
      <c r="FV315" s="9"/>
      <c r="FW315" s="9"/>
      <c r="FX315" s="9"/>
      <c r="FY315" s="9"/>
      <c r="FZ315" s="9"/>
      <c r="GA315" s="9"/>
      <c r="GB315" s="9"/>
      <c r="GC315" s="9"/>
      <c r="GD315" s="9"/>
      <c r="GE315" s="9"/>
      <c r="GF315" s="9"/>
      <c r="GG315" s="9"/>
      <c r="GH315" s="9"/>
      <c r="GI315" s="9"/>
      <c r="GJ315" s="9"/>
      <c r="GK315" s="9"/>
      <c r="GL315" s="9"/>
      <c r="GM315" s="9"/>
      <c r="GN315" s="9"/>
      <c r="GO315" s="9"/>
      <c r="GP315" s="9"/>
      <c r="GQ315" s="9"/>
      <c r="GR315" s="9"/>
      <c r="GS315" s="9"/>
      <c r="GT315" s="9"/>
      <c r="GU315" s="9"/>
      <c r="GV315" s="9"/>
      <c r="GW315" s="9"/>
      <c r="GX315" s="9"/>
      <c r="GY315" s="9"/>
      <c r="GZ315" s="9"/>
      <c r="HA315" s="9"/>
      <c r="HB315" s="9"/>
      <c r="HC315" s="9"/>
      <c r="HD315" s="9"/>
      <c r="HE315" s="9"/>
      <c r="HF315" s="9"/>
      <c r="HG315" s="9"/>
      <c r="HH315" s="9"/>
      <c r="HI315" s="9"/>
      <c r="HJ315" s="9"/>
      <c r="HK315" s="9"/>
      <c r="HL315" s="9"/>
      <c r="HM315" s="9"/>
      <c r="HN315" s="9"/>
      <c r="HO315" s="9"/>
      <c r="HP315" s="9"/>
      <c r="HQ315" s="9"/>
      <c r="HR315" s="9"/>
      <c r="HS315" s="9"/>
      <c r="HT315" s="9"/>
      <c r="HU315" s="9"/>
      <c r="HV315" s="9"/>
      <c r="HW315" s="9"/>
      <c r="HX315" s="9"/>
      <c r="HY315" s="9"/>
      <c r="HZ315" s="9"/>
      <c r="IA315" s="9"/>
      <c r="IB315" s="9"/>
      <c r="IC315" s="9"/>
      <c r="ID315" s="9"/>
      <c r="IE315" s="9"/>
      <c r="IF315" s="9"/>
      <c r="IG315" s="9"/>
      <c r="IH315" s="9"/>
      <c r="II315" s="9"/>
      <c r="IJ315" s="9"/>
      <c r="IK315" s="9"/>
      <c r="IL315" s="9"/>
      <c r="IM315" s="9"/>
      <c r="IN315" s="9"/>
      <c r="IO315" s="9"/>
      <c r="IP315" s="9"/>
      <c r="IQ315" s="9"/>
      <c r="IR315" s="9"/>
      <c r="IS315" s="9"/>
      <c r="IT315" s="9"/>
      <c r="IU315" s="9"/>
    </row>
    <row r="316" customFormat="1" ht="15" customHeight="1" spans="1:256">
      <c r="A316" s="24">
        <v>110</v>
      </c>
      <c r="B316" s="25" t="s">
        <v>862</v>
      </c>
      <c r="C316" s="142" t="s">
        <v>863</v>
      </c>
      <c r="D316" s="230" t="s">
        <v>864</v>
      </c>
      <c r="E316" s="142" t="s">
        <v>152</v>
      </c>
      <c r="F316" s="142">
        <v>55</v>
      </c>
      <c r="G316" s="142">
        <v>13222357090</v>
      </c>
      <c r="H316" s="143">
        <v>45902</v>
      </c>
      <c r="I316" s="142"/>
      <c r="J316" s="142" t="s">
        <v>22</v>
      </c>
      <c r="K316" s="142" t="s">
        <v>285</v>
      </c>
      <c r="L316" s="25"/>
      <c r="M316" s="144"/>
      <c r="N316" s="144"/>
      <c r="O316" s="8"/>
      <c r="P316" s="144"/>
      <c r="Q316" s="144"/>
      <c r="R316" s="144"/>
      <c r="S316" s="145"/>
    </row>
    <row r="317" customFormat="1" ht="15" customHeight="1" spans="1:256">
      <c r="A317" s="24">
        <v>109</v>
      </c>
      <c r="B317" s="25" t="s">
        <v>865</v>
      </c>
      <c r="C317" s="142" t="s">
        <v>866</v>
      </c>
      <c r="D317" s="142" t="s">
        <v>867</v>
      </c>
      <c r="E317" s="142" t="s">
        <v>152</v>
      </c>
      <c r="F317" s="142">
        <v>48</v>
      </c>
      <c r="G317" s="142">
        <v>15189278928</v>
      </c>
      <c r="H317" s="143">
        <v>45901</v>
      </c>
      <c r="I317" s="142"/>
      <c r="J317" s="142" t="s">
        <v>22</v>
      </c>
      <c r="K317" s="142"/>
      <c r="L317" s="25"/>
      <c r="M317" s="144"/>
      <c r="N317" s="144"/>
      <c r="O317" s="8"/>
      <c r="P317" s="144"/>
      <c r="Q317" s="144"/>
      <c r="R317" s="144"/>
      <c r="S317" s="145"/>
    </row>
    <row r="318" customFormat="1"/>
    <row r="319" customFormat="1" ht="15" customHeight="1" spans="1:256">
      <c r="A319" s="24">
        <v>108</v>
      </c>
      <c r="B319" s="25" t="s">
        <v>868</v>
      </c>
      <c r="C319" s="142" t="s">
        <v>869</v>
      </c>
      <c r="D319" s="230" t="s">
        <v>870</v>
      </c>
      <c r="E319" s="142" t="s">
        <v>152</v>
      </c>
      <c r="F319" s="142">
        <v>44</v>
      </c>
      <c r="G319" s="142">
        <v>15189278993</v>
      </c>
      <c r="H319" s="143">
        <v>45901</v>
      </c>
      <c r="I319" s="142"/>
      <c r="J319" s="142" t="s">
        <v>22</v>
      </c>
      <c r="K319" s="142"/>
      <c r="L319" s="25"/>
      <c r="M319" s="144"/>
      <c r="N319" s="144"/>
      <c r="P319" s="144"/>
      <c r="Q319" s="144"/>
      <c r="R319" s="144"/>
      <c r="S319" s="145"/>
    </row>
    <row r="320" s="13" customFormat="1" ht="15" customHeight="1" spans="1:256">
      <c r="A320" s="150">
        <v>96</v>
      </c>
      <c r="B320" s="151" t="s">
        <v>871</v>
      </c>
      <c r="C320" s="152" t="s">
        <v>872</v>
      </c>
      <c r="D320" s="231" t="s">
        <v>873</v>
      </c>
      <c r="E320" s="152" t="s">
        <v>158</v>
      </c>
      <c r="F320" s="153">
        <v>52</v>
      </c>
      <c r="G320" s="153">
        <v>13912538172</v>
      </c>
      <c r="H320" s="154">
        <v>45860</v>
      </c>
      <c r="I320" s="153"/>
      <c r="J320" s="152" t="s">
        <v>22</v>
      </c>
      <c r="K320" s="152" t="s">
        <v>115</v>
      </c>
      <c r="L320" s="152" t="str">
        <f ca="1" t="shared" ref="L320:L327" si="44">DATEDIF(H320,TODAY(),"Y")&amp;"年"&amp;DATEDIF(H320,TODAY(),"YM")&amp;"个月"</f>
        <v>0年8个月</v>
      </c>
      <c r="T320" s="155"/>
      <c r="U320" s="155"/>
      <c r="V320" s="155"/>
      <c r="W320" s="155"/>
      <c r="X320" s="155"/>
      <c r="Y320" s="155"/>
      <c r="Z320" s="155"/>
      <c r="AA320" s="155"/>
      <c r="AB320" s="155"/>
      <c r="AC320" s="155"/>
      <c r="AD320" s="155"/>
      <c r="AE320" s="155"/>
      <c r="AF320" s="155"/>
      <c r="AG320" s="155"/>
      <c r="AH320" s="155"/>
      <c r="AI320" s="155"/>
      <c r="AJ320" s="155"/>
      <c r="AK320" s="155"/>
      <c r="AL320" s="155"/>
      <c r="AM320" s="155"/>
      <c r="AN320" s="155"/>
      <c r="AO320" s="155"/>
      <c r="AP320" s="155"/>
      <c r="AQ320" s="155"/>
      <c r="AR320" s="155"/>
      <c r="AS320" s="155"/>
      <c r="AT320" s="155"/>
      <c r="AU320" s="155"/>
      <c r="AV320" s="155"/>
      <c r="AW320" s="155"/>
      <c r="AX320" s="155"/>
      <c r="AY320" s="155"/>
      <c r="AZ320" s="155"/>
      <c r="BA320" s="155"/>
      <c r="BB320" s="155"/>
      <c r="BC320" s="155"/>
      <c r="BD320" s="155"/>
      <c r="BE320" s="155"/>
      <c r="BF320" s="155"/>
      <c r="BG320" s="155"/>
      <c r="BH320" s="155"/>
      <c r="BI320" s="155"/>
      <c r="BJ320" s="155"/>
      <c r="BK320" s="155"/>
      <c r="BL320" s="155"/>
      <c r="BM320" s="155"/>
      <c r="BN320" s="155"/>
      <c r="BO320" s="155"/>
      <c r="BP320" s="155"/>
      <c r="BQ320" s="155"/>
      <c r="BR320" s="155"/>
      <c r="BS320" s="155"/>
      <c r="BT320" s="155"/>
      <c r="BU320" s="156"/>
    </row>
    <row r="321" spans="1:255">
      <c r="B321" s="25" t="s">
        <v>862</v>
      </c>
      <c r="C321" s="18" t="s">
        <v>874</v>
      </c>
      <c r="D321" s="213" t="s">
        <v>875</v>
      </c>
      <c r="E321" s="18" t="s">
        <v>158</v>
      </c>
      <c r="F321" s="18">
        <v>38</v>
      </c>
      <c r="G321" s="18">
        <v>15102155637</v>
      </c>
      <c r="H321" s="66">
        <v>45918</v>
      </c>
      <c r="I321" s="18"/>
      <c r="J321" s="142" t="s">
        <v>22</v>
      </c>
      <c r="K321" s="18" t="s">
        <v>285</v>
      </c>
    </row>
    <row r="322" s="12" customFormat="1" ht="15" customHeight="1" spans="1:255">
      <c r="A322" s="24">
        <v>82</v>
      </c>
      <c r="B322" s="157" t="s">
        <v>876</v>
      </c>
      <c r="C322" s="157" t="s">
        <v>877</v>
      </c>
      <c r="D322" s="232" t="s">
        <v>878</v>
      </c>
      <c r="E322" s="157" t="s">
        <v>152</v>
      </c>
      <c r="F322" s="158">
        <v>38</v>
      </c>
      <c r="G322" s="159">
        <v>15380561691</v>
      </c>
      <c r="H322" s="160">
        <v>45715</v>
      </c>
      <c r="I322" s="161"/>
      <c r="J322" s="157" t="s">
        <v>22</v>
      </c>
      <c r="K322" s="157" t="s">
        <v>100</v>
      </c>
      <c r="L322" s="61" t="str">
        <f ca="1" t="shared" si="44"/>
        <v>1年1个月</v>
      </c>
      <c r="N322" s="161"/>
      <c r="O322" s="161"/>
      <c r="P322" s="149"/>
      <c r="Q322" s="149"/>
      <c r="R322" s="149"/>
      <c r="S322" s="149"/>
    </row>
    <row r="323" s="9" customFormat="1" ht="15" customHeight="1" spans="1:255">
      <c r="A323" s="24">
        <v>86</v>
      </c>
      <c r="B323" s="133" t="s">
        <v>879</v>
      </c>
      <c r="C323" s="157" t="s">
        <v>880</v>
      </c>
      <c r="D323" s="162" t="s">
        <v>881</v>
      </c>
      <c r="E323" s="162" t="s">
        <v>158</v>
      </c>
      <c r="F323" s="162">
        <v>36</v>
      </c>
      <c r="G323" s="163">
        <v>15261906759</v>
      </c>
      <c r="H323" s="164">
        <v>45767</v>
      </c>
      <c r="I323" s="164"/>
      <c r="J323" s="162" t="s">
        <v>22</v>
      </c>
      <c r="K323" s="162" t="s">
        <v>728</v>
      </c>
      <c r="L323" s="47" t="str">
        <f ca="1" t="shared" si="44"/>
        <v>0年11个月</v>
      </c>
      <c r="M323" s="162"/>
      <c r="O323" s="162"/>
      <c r="P323" s="48"/>
      <c r="Q323" s="48"/>
      <c r="R323" s="48"/>
      <c r="S323" s="48"/>
    </row>
    <row r="324" s="1" customFormat="1" ht="15" customHeight="1" spans="1:255">
      <c r="A324" s="24">
        <v>36</v>
      </c>
      <c r="B324" s="25" t="s">
        <v>882</v>
      </c>
      <c r="C324" s="25" t="s">
        <v>883</v>
      </c>
      <c r="D324" s="25" t="s">
        <v>884</v>
      </c>
      <c r="E324" s="25" t="str">
        <f>IF(MOD(MID(D324,17,1),2),"男","女")</f>
        <v>男</v>
      </c>
      <c r="F324" s="24">
        <f ca="1">YEAR(NOW())-MID(D324,7,4)</f>
        <v>42</v>
      </c>
      <c r="G324" s="28" t="s">
        <v>885</v>
      </c>
      <c r="H324" s="27">
        <v>44651</v>
      </c>
      <c r="I324" s="27"/>
      <c r="J324" s="25" t="s">
        <v>122</v>
      </c>
      <c r="K324" s="25" t="s">
        <v>123</v>
      </c>
      <c r="L324" s="25" t="str">
        <f ca="1" t="shared" si="44"/>
        <v>4年0个月</v>
      </c>
      <c r="M324" s="25" t="s">
        <v>154</v>
      </c>
      <c r="N324" s="43"/>
      <c r="O324" s="29" t="s">
        <v>598</v>
      </c>
      <c r="P324" s="29" t="s">
        <v>102</v>
      </c>
      <c r="Q324" s="165" t="s">
        <v>886</v>
      </c>
      <c r="S324" s="24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3"/>
      <c r="GG324" s="3"/>
      <c r="GH324" s="3"/>
      <c r="GI324" s="3"/>
      <c r="GJ324" s="3"/>
      <c r="GK324" s="3"/>
      <c r="GL324" s="3"/>
      <c r="GM324" s="3"/>
      <c r="GN324" s="3"/>
      <c r="GO324" s="3"/>
      <c r="GP324" s="3"/>
      <c r="GQ324" s="3"/>
      <c r="GR324" s="3"/>
      <c r="GS324" s="3"/>
      <c r="GT324" s="3"/>
      <c r="GU324" s="3"/>
      <c r="GV324" s="3"/>
      <c r="GW324" s="3"/>
      <c r="GX324" s="3"/>
      <c r="GY324" s="3"/>
      <c r="GZ324" s="3"/>
      <c r="HA324" s="3"/>
      <c r="HB324" s="3"/>
      <c r="HC324" s="3"/>
      <c r="HD324" s="3"/>
      <c r="HE324" s="3"/>
      <c r="HF324" s="3"/>
      <c r="HG324" s="3"/>
      <c r="HH324" s="3"/>
      <c r="HI324" s="3"/>
      <c r="HJ324" s="3"/>
      <c r="HK324" s="3"/>
      <c r="HL324" s="3"/>
      <c r="HM324" s="3"/>
      <c r="HN324" s="3"/>
      <c r="HO324" s="3"/>
      <c r="HP324" s="3"/>
      <c r="HQ324" s="3"/>
      <c r="HR324" s="3"/>
      <c r="HS324" s="3"/>
      <c r="HT324" s="3"/>
      <c r="HU324" s="3"/>
      <c r="HV324" s="3"/>
      <c r="HW324" s="3"/>
      <c r="HX324" s="3"/>
      <c r="HY324" s="3"/>
      <c r="HZ324" s="3"/>
      <c r="IA324" s="3"/>
      <c r="IB324" s="3"/>
      <c r="IC324" s="3"/>
      <c r="ID324" s="3"/>
      <c r="IE324" s="3"/>
      <c r="IF324" s="3"/>
      <c r="IG324" s="3"/>
      <c r="IH324" s="3"/>
      <c r="II324" s="3"/>
      <c r="IJ324" s="3"/>
      <c r="IK324" s="3"/>
      <c r="IL324" s="3"/>
      <c r="IM324" s="3"/>
      <c r="IN324" s="3"/>
      <c r="IO324" s="3"/>
      <c r="IP324" s="3"/>
      <c r="IQ324" s="3"/>
      <c r="IR324" s="3"/>
      <c r="IS324" s="3"/>
      <c r="IT324" s="3"/>
      <c r="IU324" s="3"/>
    </row>
    <row r="325" customFormat="1" ht="15" customHeight="1" spans="1:255">
      <c r="A325" s="24">
        <v>90</v>
      </c>
      <c r="B325" s="141" t="s">
        <v>887</v>
      </c>
      <c r="C325" s="18" t="s">
        <v>888</v>
      </c>
      <c r="D325" s="213" t="s">
        <v>889</v>
      </c>
      <c r="E325" s="18" t="s">
        <v>158</v>
      </c>
      <c r="F325" s="18">
        <v>24</v>
      </c>
      <c r="G325" s="18">
        <v>18361189237</v>
      </c>
      <c r="H325" s="66">
        <v>45820</v>
      </c>
      <c r="I325" s="18"/>
      <c r="J325" s="18" t="s">
        <v>65</v>
      </c>
      <c r="K325" s="18"/>
      <c r="L325" s="47" t="str">
        <f ca="1" t="shared" si="44"/>
        <v>0年10个月</v>
      </c>
      <c r="M325" s="8"/>
      <c r="N325" s="18" t="s">
        <v>890</v>
      </c>
      <c r="P325" s="8"/>
      <c r="Q325" s="8"/>
      <c r="R325" s="67"/>
      <c r="S325" s="8"/>
    </row>
    <row r="326" customFormat="1" ht="15" customHeight="1" spans="1:255">
      <c r="A326" s="24">
        <v>100</v>
      </c>
      <c r="B326" s="25" t="s">
        <v>891</v>
      </c>
      <c r="C326" s="142" t="s">
        <v>892</v>
      </c>
      <c r="D326" s="230" t="s">
        <v>893</v>
      </c>
      <c r="E326" s="142" t="s">
        <v>152</v>
      </c>
      <c r="F326" s="142">
        <v>49</v>
      </c>
      <c r="G326" s="142">
        <v>18262361923</v>
      </c>
      <c r="H326" s="143">
        <v>45888</v>
      </c>
      <c r="I326" s="142"/>
      <c r="J326" s="142" t="s">
        <v>22</v>
      </c>
      <c r="K326" s="142" t="s">
        <v>100</v>
      </c>
      <c r="L326" s="25" t="str">
        <f ca="1" t="shared" si="44"/>
        <v>0年7个月</v>
      </c>
      <c r="M326" s="144"/>
      <c r="O326" s="144"/>
      <c r="P326" s="144"/>
      <c r="Q326" s="144"/>
      <c r="R326" s="166"/>
      <c r="S326" s="144"/>
    </row>
    <row r="327" s="14" customFormat="1" ht="15" customHeight="1" spans="1:255">
      <c r="A327" s="39">
        <v>105</v>
      </c>
      <c r="B327" s="29" t="s">
        <v>894</v>
      </c>
      <c r="C327" s="167" t="s">
        <v>895</v>
      </c>
      <c r="D327" s="233" t="s">
        <v>896</v>
      </c>
      <c r="E327" s="167" t="s">
        <v>158</v>
      </c>
      <c r="F327" s="167">
        <v>45</v>
      </c>
      <c r="G327" s="167">
        <v>13912530130</v>
      </c>
      <c r="H327" s="168">
        <v>45937</v>
      </c>
      <c r="I327" s="167"/>
      <c r="J327" s="167" t="s">
        <v>22</v>
      </c>
      <c r="K327" s="167" t="s">
        <v>115</v>
      </c>
      <c r="L327" s="29" t="str">
        <f ca="1" t="shared" si="44"/>
        <v>0年6个月</v>
      </c>
      <c r="M327" s="169"/>
      <c r="O327" s="169"/>
      <c r="P327" s="169"/>
      <c r="Q327" s="169"/>
      <c r="R327" s="170"/>
      <c r="S327" s="169"/>
    </row>
    <row r="328" customFormat="1" ht="15" customHeight="1" spans="1:255">
      <c r="A328" s="39">
        <v>110</v>
      </c>
      <c r="B328" s="29" t="s">
        <v>897</v>
      </c>
      <c r="C328" s="142" t="s">
        <v>898</v>
      </c>
      <c r="D328" s="230" t="s">
        <v>899</v>
      </c>
      <c r="E328" s="142" t="s">
        <v>158</v>
      </c>
      <c r="F328" s="142">
        <v>29</v>
      </c>
      <c r="G328" s="142">
        <v>15251103895</v>
      </c>
      <c r="H328" s="143">
        <v>45954</v>
      </c>
      <c r="I328" s="142"/>
      <c r="J328" s="167" t="s">
        <v>22</v>
      </c>
      <c r="K328" s="167" t="s">
        <v>100</v>
      </c>
      <c r="L328" s="142"/>
      <c r="M328" s="144"/>
      <c r="N328" s="144"/>
      <c r="O328" s="144"/>
      <c r="Q328" s="144"/>
      <c r="R328" s="144"/>
      <c r="S328" s="145"/>
    </row>
    <row r="329" s="14" customFormat="1" ht="15" customHeight="1" spans="1:255">
      <c r="A329" s="39">
        <v>108</v>
      </c>
      <c r="B329" s="29" t="s">
        <v>900</v>
      </c>
      <c r="C329" s="167" t="s">
        <v>901</v>
      </c>
      <c r="D329" s="233" t="s">
        <v>902</v>
      </c>
      <c r="E329" s="167" t="s">
        <v>152</v>
      </c>
      <c r="F329" s="167">
        <v>43</v>
      </c>
      <c r="G329" s="167">
        <v>15298572836</v>
      </c>
      <c r="H329" s="168">
        <v>45947</v>
      </c>
      <c r="I329" s="167"/>
      <c r="J329" s="167" t="s">
        <v>22</v>
      </c>
      <c r="K329" s="167" t="s">
        <v>100</v>
      </c>
      <c r="L329" s="29" t="str">
        <f ca="1" t="shared" ref="L329:L338" si="45">DATEDIF(H329,TODAY(),"Y")&amp;"年"&amp;DATEDIF(H329,TODAY(),"YM")&amp;"个月"</f>
        <v>0年5个月</v>
      </c>
      <c r="N329" s="169"/>
      <c r="O329" s="169"/>
      <c r="P329" s="169"/>
      <c r="Q329" s="169"/>
      <c r="R329" s="169"/>
      <c r="S329" s="171"/>
    </row>
    <row r="330" customFormat="1" ht="15" customHeight="1" spans="1:255">
      <c r="A330" s="24">
        <v>97</v>
      </c>
      <c r="B330" s="25" t="s">
        <v>903</v>
      </c>
      <c r="C330" s="142" t="s">
        <v>904</v>
      </c>
      <c r="D330" s="230" t="s">
        <v>905</v>
      </c>
      <c r="E330" s="142" t="s">
        <v>152</v>
      </c>
      <c r="F330" s="142">
        <v>42</v>
      </c>
      <c r="G330" s="142">
        <v>17849110760</v>
      </c>
      <c r="H330" s="143">
        <v>45890</v>
      </c>
      <c r="I330" s="142"/>
      <c r="J330" s="142" t="s">
        <v>22</v>
      </c>
      <c r="K330" s="142" t="s">
        <v>180</v>
      </c>
      <c r="L330" s="25" t="str">
        <f ca="1" t="shared" si="45"/>
        <v>0年7个月</v>
      </c>
      <c r="M330" s="144"/>
      <c r="N330" s="144"/>
      <c r="O330" s="144"/>
      <c r="P330" s="144"/>
      <c r="Q330" s="166"/>
      <c r="R330" s="144"/>
      <c r="S330" s="106"/>
    </row>
    <row r="331" s="15" customFormat="1" ht="15" customHeight="1" spans="1:255">
      <c r="A331" s="24">
        <v>51</v>
      </c>
      <c r="B331" s="25" t="s">
        <v>906</v>
      </c>
      <c r="C331" s="25" t="s">
        <v>907</v>
      </c>
      <c r="D331" s="205" t="s">
        <v>908</v>
      </c>
      <c r="E331" s="25" t="str">
        <f>IF(MOD(MID(D331,17,1),2),"男","女")</f>
        <v>男</v>
      </c>
      <c r="F331" s="24">
        <f ca="1">YEAR(NOW())-MID(D331,7,4)</f>
        <v>39</v>
      </c>
      <c r="G331" s="28" t="s">
        <v>909</v>
      </c>
      <c r="H331" s="27">
        <v>45124</v>
      </c>
      <c r="I331" s="27"/>
      <c r="J331" s="25" t="s">
        <v>122</v>
      </c>
      <c r="K331" s="25" t="s">
        <v>123</v>
      </c>
      <c r="L331" s="25" t="str">
        <f ca="1" t="shared" si="45"/>
        <v>2年8个月</v>
      </c>
      <c r="M331" s="25" t="s">
        <v>154</v>
      </c>
      <c r="N331" s="43"/>
      <c r="O331" s="29" t="s">
        <v>101</v>
      </c>
      <c r="P331" s="46" t="s">
        <v>111</v>
      </c>
      <c r="Q331" s="42" t="s">
        <v>886</v>
      </c>
      <c r="R331" s="42"/>
      <c r="S331" s="172"/>
    </row>
    <row r="332" s="12" customFormat="1" ht="15" customHeight="1" spans="1:255">
      <c r="A332" s="24">
        <v>81</v>
      </c>
      <c r="B332" s="146" t="s">
        <v>743</v>
      </c>
      <c r="C332" s="173" t="s">
        <v>910</v>
      </c>
      <c r="D332" s="211" t="s">
        <v>911</v>
      </c>
      <c r="E332" s="61" t="s">
        <v>152</v>
      </c>
      <c r="F332" s="147">
        <v>39</v>
      </c>
      <c r="G332" s="147">
        <v>19952905110</v>
      </c>
      <c r="H332" s="174">
        <v>45705</v>
      </c>
      <c r="I332" s="147"/>
      <c r="J332" s="61" t="s">
        <v>22</v>
      </c>
      <c r="K332" s="61" t="s">
        <v>100</v>
      </c>
      <c r="L332" s="61" t="str">
        <f ca="1" t="shared" si="45"/>
        <v>1年1个月</v>
      </c>
      <c r="M332" s="149"/>
      <c r="N332" s="149"/>
      <c r="O332" s="149"/>
      <c r="P332" s="175"/>
      <c r="R332" s="147"/>
      <c r="S332" s="149"/>
    </row>
    <row r="333" s="12" customFormat="1" ht="15" customHeight="1" spans="1:255">
      <c r="A333" s="24">
        <v>84</v>
      </c>
      <c r="B333" s="146" t="s">
        <v>780</v>
      </c>
      <c r="C333" s="176" t="s">
        <v>912</v>
      </c>
      <c r="D333" s="211" t="s">
        <v>913</v>
      </c>
      <c r="E333" s="61" t="s">
        <v>152</v>
      </c>
      <c r="F333" s="147">
        <v>41</v>
      </c>
      <c r="G333" s="147">
        <v>15949125498</v>
      </c>
      <c r="H333" s="174">
        <v>45744</v>
      </c>
      <c r="I333" s="149"/>
      <c r="J333" s="61" t="s">
        <v>22</v>
      </c>
      <c r="K333" s="61" t="s">
        <v>100</v>
      </c>
      <c r="L333" s="61" t="str">
        <f ca="1" t="shared" si="45"/>
        <v>1年0个月</v>
      </c>
      <c r="M333" s="149"/>
      <c r="N333" s="149"/>
      <c r="O333" s="149"/>
      <c r="P333" s="149"/>
      <c r="Q333" s="177" t="s">
        <v>914</v>
      </c>
      <c r="R333" s="149"/>
      <c r="S333" s="149"/>
    </row>
    <row r="334" customFormat="1" ht="15" customHeight="1" spans="1:255">
      <c r="A334" s="103">
        <v>88</v>
      </c>
      <c r="B334" s="141" t="s">
        <v>915</v>
      </c>
      <c r="C334" s="80" t="s">
        <v>916</v>
      </c>
      <c r="D334" s="213" t="s">
        <v>917</v>
      </c>
      <c r="E334" s="18" t="s">
        <v>152</v>
      </c>
      <c r="F334" s="18">
        <v>45</v>
      </c>
      <c r="G334" s="18">
        <v>18752237818</v>
      </c>
      <c r="H334" s="66">
        <v>45777</v>
      </c>
      <c r="I334" s="18"/>
      <c r="J334" s="18" t="s">
        <v>22</v>
      </c>
      <c r="K334" s="18" t="s">
        <v>100</v>
      </c>
      <c r="L334" s="47" t="str">
        <f ca="1" t="shared" si="45"/>
        <v>0年11个月</v>
      </c>
      <c r="M334" s="8"/>
      <c r="N334" s="8"/>
      <c r="O334" s="8"/>
      <c r="P334" s="8" t="s">
        <v>111</v>
      </c>
      <c r="Q334" s="67" t="s">
        <v>918</v>
      </c>
      <c r="R334" s="8"/>
      <c r="S334" s="8"/>
    </row>
    <row r="335" customFormat="1" ht="15" customHeight="1" spans="1:255">
      <c r="A335" s="24">
        <v>94</v>
      </c>
      <c r="B335" s="25" t="s">
        <v>919</v>
      </c>
      <c r="C335" s="18" t="s">
        <v>920</v>
      </c>
      <c r="D335" s="213" t="s">
        <v>921</v>
      </c>
      <c r="E335" s="18" t="s">
        <v>152</v>
      </c>
      <c r="F335" s="18">
        <v>44</v>
      </c>
      <c r="G335" s="18">
        <v>13921859557</v>
      </c>
      <c r="H335" s="66">
        <v>45876</v>
      </c>
      <c r="I335" s="18"/>
      <c r="J335" s="18" t="s">
        <v>22</v>
      </c>
      <c r="K335" s="18" t="s">
        <v>180</v>
      </c>
      <c r="L335" s="25" t="str">
        <f ca="1" t="shared" si="45"/>
        <v>0年8个月</v>
      </c>
      <c r="M335" s="8"/>
      <c r="N335" s="142"/>
      <c r="O335" s="142"/>
      <c r="P335" s="142"/>
      <c r="R335" s="178"/>
      <c r="S335" s="142"/>
    </row>
    <row r="336" s="16" customFormat="1" ht="15" customHeight="1" spans="1:255">
      <c r="A336" s="179">
        <v>109</v>
      </c>
      <c r="B336" s="30" t="s">
        <v>922</v>
      </c>
      <c r="C336" s="73" t="s">
        <v>923</v>
      </c>
      <c r="D336" s="216" t="s">
        <v>924</v>
      </c>
      <c r="E336" s="73" t="s">
        <v>158</v>
      </c>
      <c r="F336" s="73">
        <v>25</v>
      </c>
      <c r="G336" s="73">
        <v>18914608362</v>
      </c>
      <c r="H336" s="74">
        <v>45958</v>
      </c>
      <c r="I336" s="180"/>
      <c r="J336" s="181" t="s">
        <v>22</v>
      </c>
      <c r="K336" s="73" t="s">
        <v>115</v>
      </c>
      <c r="L336" s="30" t="str">
        <f ca="1" t="shared" si="45"/>
        <v>0年5个月</v>
      </c>
      <c r="M336" s="180"/>
      <c r="N336" s="180"/>
      <c r="P336" s="180"/>
      <c r="Q336" s="180"/>
      <c r="R336" s="180"/>
      <c r="S336" s="182"/>
    </row>
    <row r="337" s="6" customFormat="1" ht="15" customHeight="1" spans="1:255">
      <c r="A337" s="24">
        <v>62</v>
      </c>
      <c r="B337" s="48" t="s">
        <v>145</v>
      </c>
      <c r="C337" s="61" t="s">
        <v>925</v>
      </c>
      <c r="D337" s="210" t="s">
        <v>926</v>
      </c>
      <c r="E337" s="48" t="s">
        <v>158</v>
      </c>
      <c r="F337" s="48">
        <v>46</v>
      </c>
      <c r="G337" s="48">
        <v>13962060101</v>
      </c>
      <c r="H337" s="54">
        <v>45376</v>
      </c>
      <c r="I337" s="60"/>
      <c r="J337" s="48" t="s">
        <v>22</v>
      </c>
      <c r="K337" s="25" t="s">
        <v>100</v>
      </c>
      <c r="L337" s="25" t="str">
        <f ca="1" t="shared" si="45"/>
        <v>2年0个月</v>
      </c>
      <c r="M337" s="60"/>
      <c r="N337" s="48"/>
      <c r="O337" s="30" t="s">
        <v>396</v>
      </c>
      <c r="P337" s="46" t="s">
        <v>111</v>
      </c>
      <c r="Q337" s="48" t="s">
        <v>397</v>
      </c>
      <c r="R337" s="42" t="s">
        <v>111</v>
      </c>
      <c r="S337" s="9"/>
      <c r="T337" s="9"/>
      <c r="U337" s="9"/>
      <c r="V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  <c r="CO337" s="9"/>
      <c r="CP337" s="9"/>
      <c r="CQ337" s="9"/>
      <c r="CR337" s="9"/>
      <c r="CS337" s="9"/>
      <c r="CT337" s="9"/>
      <c r="CU337" s="9"/>
      <c r="CV337" s="9"/>
      <c r="CW337" s="9"/>
      <c r="CX337" s="9"/>
      <c r="CY337" s="9"/>
      <c r="CZ337" s="9"/>
      <c r="DA337" s="9"/>
      <c r="DB337" s="9"/>
      <c r="DC337" s="9"/>
      <c r="DD337" s="9"/>
      <c r="DE337" s="9"/>
      <c r="DF337" s="9"/>
      <c r="DG337" s="9"/>
      <c r="DH337" s="9"/>
      <c r="DI337" s="9"/>
      <c r="DJ337" s="9"/>
      <c r="DK337" s="9"/>
      <c r="DL337" s="9"/>
      <c r="DM337" s="9"/>
      <c r="DN337" s="9"/>
      <c r="DO337" s="9"/>
      <c r="DP337" s="9"/>
      <c r="DQ337" s="9"/>
      <c r="DR337" s="9"/>
      <c r="DS337" s="9"/>
      <c r="DT337" s="9"/>
      <c r="DU337" s="9"/>
      <c r="DV337" s="9"/>
      <c r="DW337" s="9"/>
      <c r="DX337" s="9"/>
      <c r="DY337" s="9"/>
      <c r="DZ337" s="9"/>
      <c r="EA337" s="9"/>
      <c r="EB337" s="9"/>
      <c r="EC337" s="9"/>
      <c r="ED337" s="9"/>
      <c r="EE337" s="9"/>
      <c r="EF337" s="9"/>
      <c r="EG337" s="9"/>
      <c r="EH337" s="9"/>
      <c r="EI337" s="9"/>
      <c r="EJ337" s="9"/>
      <c r="EK337" s="9"/>
      <c r="EL337" s="9"/>
      <c r="EM337" s="9"/>
      <c r="EN337" s="9"/>
      <c r="EO337" s="9"/>
      <c r="EP337" s="9"/>
      <c r="EQ337" s="9"/>
      <c r="ER337" s="9"/>
      <c r="ES337" s="9"/>
      <c r="ET337" s="9"/>
      <c r="EU337" s="9"/>
      <c r="EV337" s="9"/>
      <c r="EW337" s="9"/>
      <c r="EX337" s="9"/>
      <c r="EY337" s="9"/>
      <c r="EZ337" s="9"/>
      <c r="FA337" s="9"/>
      <c r="FB337" s="9"/>
      <c r="FC337" s="9"/>
      <c r="FD337" s="9"/>
      <c r="FE337" s="9"/>
      <c r="FF337" s="9"/>
      <c r="FG337" s="9"/>
      <c r="FH337" s="9"/>
      <c r="FI337" s="9"/>
      <c r="FJ337" s="9"/>
      <c r="FK337" s="9"/>
      <c r="FL337" s="9"/>
      <c r="FM337" s="9"/>
      <c r="FN337" s="9"/>
      <c r="FO337" s="9"/>
      <c r="FP337" s="9"/>
      <c r="FQ337" s="9"/>
      <c r="FR337" s="9"/>
      <c r="FS337" s="9"/>
      <c r="FT337" s="9"/>
      <c r="FU337" s="9"/>
      <c r="FV337" s="9"/>
      <c r="FW337" s="9"/>
      <c r="FX337" s="9"/>
      <c r="FY337" s="9"/>
      <c r="FZ337" s="9"/>
      <c r="GA337" s="9"/>
      <c r="GB337" s="9"/>
      <c r="GC337" s="9"/>
      <c r="GD337" s="9"/>
      <c r="GE337" s="9"/>
      <c r="GF337" s="9"/>
      <c r="GG337" s="9"/>
      <c r="GH337" s="9"/>
      <c r="GI337" s="9"/>
      <c r="GJ337" s="9"/>
      <c r="GK337" s="9"/>
      <c r="GL337" s="9"/>
      <c r="GM337" s="9"/>
      <c r="GN337" s="9"/>
      <c r="GO337" s="9"/>
      <c r="GP337" s="9"/>
      <c r="GQ337" s="9"/>
      <c r="GR337" s="9"/>
      <c r="GS337" s="9"/>
      <c r="GT337" s="9"/>
      <c r="GU337" s="9"/>
      <c r="GV337" s="9"/>
      <c r="GW337" s="9"/>
      <c r="GX337" s="9"/>
      <c r="GY337" s="9"/>
      <c r="GZ337" s="9"/>
      <c r="HA337" s="9"/>
      <c r="HB337" s="9"/>
      <c r="HC337" s="9"/>
      <c r="HD337" s="9"/>
      <c r="HE337" s="9"/>
      <c r="HF337" s="9"/>
      <c r="HG337" s="9"/>
      <c r="HH337" s="9"/>
      <c r="HI337" s="9"/>
      <c r="HJ337" s="9"/>
      <c r="HK337" s="9"/>
      <c r="HL337" s="9"/>
      <c r="HM337" s="9"/>
      <c r="HN337" s="9"/>
      <c r="HO337" s="9"/>
      <c r="HP337" s="9"/>
      <c r="HQ337" s="9"/>
      <c r="HR337" s="9"/>
      <c r="HS337" s="9"/>
      <c r="HT337" s="9"/>
      <c r="HU337" s="9"/>
      <c r="HV337" s="9"/>
      <c r="HW337" s="9"/>
      <c r="HX337" s="9"/>
      <c r="HY337" s="9"/>
      <c r="HZ337" s="9"/>
      <c r="IA337" s="9"/>
      <c r="IB337" s="9"/>
      <c r="IC337" s="9"/>
      <c r="ID337" s="9"/>
      <c r="IE337" s="9"/>
      <c r="IF337" s="9"/>
      <c r="IG337" s="9"/>
      <c r="IH337" s="9"/>
      <c r="II337" s="9"/>
      <c r="IJ337" s="9"/>
      <c r="IK337" s="9"/>
      <c r="IL337" s="9"/>
      <c r="IM337" s="9"/>
      <c r="IN337" s="9"/>
      <c r="IO337" s="9"/>
      <c r="IP337" s="9"/>
      <c r="IQ337" s="9"/>
      <c r="IR337" s="9"/>
      <c r="IS337" s="9"/>
      <c r="IT337" s="9"/>
      <c r="IU337" s="9"/>
    </row>
    <row r="338" s="6" customFormat="1" ht="15" customHeight="1" spans="1:255">
      <c r="A338" s="24">
        <v>64</v>
      </c>
      <c r="B338" s="48" t="s">
        <v>927</v>
      </c>
      <c r="C338" s="64" t="s">
        <v>928</v>
      </c>
      <c r="D338" s="223" t="s">
        <v>929</v>
      </c>
      <c r="E338" s="64" t="s">
        <v>152</v>
      </c>
      <c r="F338" s="64">
        <v>43</v>
      </c>
      <c r="G338" s="64">
        <v>18761291213</v>
      </c>
      <c r="H338" s="90">
        <v>45428</v>
      </c>
      <c r="I338" s="60"/>
      <c r="J338" s="48" t="s">
        <v>22</v>
      </c>
      <c r="K338" s="48" t="s">
        <v>322</v>
      </c>
      <c r="L338" s="25" t="str">
        <f ca="1" t="shared" si="45"/>
        <v>1年10个月</v>
      </c>
      <c r="M338" s="60"/>
      <c r="N338" s="48"/>
      <c r="O338" s="48" t="s">
        <v>396</v>
      </c>
      <c r="P338" s="183"/>
      <c r="Q338" s="48" t="s">
        <v>397</v>
      </c>
      <c r="R338" s="48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  <c r="CO338" s="9"/>
      <c r="CP338" s="9"/>
      <c r="CQ338" s="9"/>
      <c r="CR338" s="9"/>
      <c r="CS338" s="9"/>
      <c r="CT338" s="9"/>
      <c r="CU338" s="9"/>
      <c r="CV338" s="9"/>
      <c r="CW338" s="9"/>
      <c r="CX338" s="9"/>
      <c r="CY338" s="9"/>
      <c r="CZ338" s="9"/>
      <c r="DA338" s="9"/>
      <c r="DB338" s="9"/>
      <c r="DC338" s="9"/>
      <c r="DD338" s="9"/>
      <c r="DE338" s="9"/>
      <c r="DF338" s="9"/>
      <c r="DG338" s="9"/>
      <c r="DH338" s="9"/>
      <c r="DI338" s="9"/>
      <c r="DJ338" s="9"/>
      <c r="DK338" s="9"/>
      <c r="DL338" s="9"/>
      <c r="DM338" s="9"/>
      <c r="DN338" s="9"/>
      <c r="DO338" s="9"/>
      <c r="DP338" s="9"/>
      <c r="DQ338" s="9"/>
      <c r="DR338" s="9"/>
      <c r="DS338" s="9"/>
      <c r="DT338" s="9"/>
      <c r="DU338" s="9"/>
      <c r="DV338" s="9"/>
      <c r="DW338" s="9"/>
      <c r="DX338" s="9"/>
      <c r="DY338" s="9"/>
      <c r="DZ338" s="9"/>
      <c r="EA338" s="9"/>
      <c r="EB338" s="9"/>
      <c r="EC338" s="9"/>
      <c r="ED338" s="9"/>
      <c r="EE338" s="9"/>
      <c r="EF338" s="9"/>
      <c r="EG338" s="9"/>
      <c r="EH338" s="9"/>
      <c r="EI338" s="9"/>
      <c r="EJ338" s="9"/>
      <c r="EK338" s="9"/>
      <c r="EL338" s="9"/>
      <c r="EM338" s="9"/>
      <c r="EN338" s="9"/>
      <c r="EO338" s="9"/>
      <c r="EP338" s="9"/>
      <c r="EQ338" s="9"/>
      <c r="ER338" s="9"/>
      <c r="ES338" s="9"/>
      <c r="ET338" s="9"/>
      <c r="EU338" s="9"/>
      <c r="EV338" s="9"/>
      <c r="EW338" s="9"/>
      <c r="EX338" s="9"/>
      <c r="EY338" s="9"/>
      <c r="EZ338" s="9"/>
      <c r="FA338" s="9"/>
      <c r="FB338" s="9"/>
      <c r="FC338" s="9"/>
      <c r="FD338" s="9"/>
      <c r="FE338" s="9"/>
      <c r="FF338" s="9"/>
      <c r="FG338" s="9"/>
      <c r="FH338" s="9"/>
      <c r="FI338" s="9"/>
      <c r="FJ338" s="9"/>
      <c r="FK338" s="9"/>
      <c r="FL338" s="9"/>
      <c r="FM338" s="9"/>
      <c r="FN338" s="9"/>
      <c r="FO338" s="9"/>
      <c r="FP338" s="9"/>
      <c r="FQ338" s="9"/>
      <c r="FR338" s="9"/>
      <c r="FS338" s="9"/>
      <c r="FT338" s="9"/>
      <c r="FU338" s="9"/>
      <c r="FV338" s="9"/>
      <c r="FW338" s="9"/>
      <c r="FX338" s="9"/>
      <c r="FY338" s="9"/>
      <c r="FZ338" s="9"/>
      <c r="GA338" s="9"/>
      <c r="GB338" s="9"/>
      <c r="GC338" s="9"/>
      <c r="GD338" s="9"/>
      <c r="GE338" s="9"/>
      <c r="GF338" s="9"/>
      <c r="GG338" s="9"/>
      <c r="GH338" s="9"/>
      <c r="GI338" s="9"/>
      <c r="GJ338" s="9"/>
      <c r="GK338" s="9"/>
      <c r="GL338" s="9"/>
      <c r="GM338" s="9"/>
      <c r="GN338" s="9"/>
      <c r="GO338" s="9"/>
      <c r="GP338" s="9"/>
      <c r="GQ338" s="9"/>
      <c r="GR338" s="9"/>
      <c r="GS338" s="9"/>
      <c r="GT338" s="9"/>
      <c r="GU338" s="9"/>
      <c r="GV338" s="9"/>
      <c r="GW338" s="9"/>
      <c r="GX338" s="9"/>
      <c r="GY338" s="9"/>
      <c r="GZ338" s="9"/>
      <c r="HA338" s="9"/>
      <c r="HB338" s="9"/>
      <c r="HC338" s="9"/>
      <c r="HD338" s="9"/>
      <c r="HE338" s="9"/>
      <c r="HF338" s="9"/>
      <c r="HG338" s="9"/>
      <c r="HH338" s="9"/>
      <c r="HI338" s="9"/>
      <c r="HJ338" s="9"/>
      <c r="HK338" s="9"/>
      <c r="HL338" s="9"/>
      <c r="HM338" s="9"/>
      <c r="HN338" s="9"/>
      <c r="HO338" s="9"/>
      <c r="HP338" s="9"/>
      <c r="HQ338" s="9"/>
      <c r="HR338" s="9"/>
      <c r="HS338" s="9"/>
      <c r="HT338" s="9"/>
      <c r="HU338" s="9"/>
      <c r="HV338" s="9"/>
      <c r="HW338" s="9"/>
      <c r="HX338" s="9"/>
      <c r="HY338" s="9"/>
      <c r="HZ338" s="9"/>
      <c r="IA338" s="9"/>
      <c r="IB338" s="9"/>
      <c r="IC338" s="9"/>
      <c r="ID338" s="9"/>
      <c r="IE338" s="9"/>
      <c r="IF338" s="9"/>
      <c r="IG338" s="9"/>
      <c r="IH338" s="9"/>
      <c r="II338" s="9"/>
      <c r="IJ338" s="9"/>
      <c r="IK338" s="9"/>
      <c r="IL338" s="9"/>
      <c r="IM338" s="9"/>
      <c r="IN338" s="9"/>
      <c r="IO338" s="9"/>
      <c r="IP338" s="9"/>
      <c r="IQ338" s="9"/>
      <c r="IR338" s="9"/>
      <c r="IS338" s="9"/>
      <c r="IT338" s="9"/>
      <c r="IU338" s="9"/>
    </row>
    <row r="339" spans="1:255">
      <c r="B339" s="30" t="s">
        <v>930</v>
      </c>
      <c r="C339" s="184" t="s">
        <v>931</v>
      </c>
      <c r="D339" s="230" t="s">
        <v>932</v>
      </c>
      <c r="E339" s="142" t="s">
        <v>152</v>
      </c>
      <c r="F339" s="142">
        <v>48</v>
      </c>
      <c r="G339" s="18">
        <v>13651598113</v>
      </c>
      <c r="H339" s="66">
        <v>45999</v>
      </c>
      <c r="I339" s="142"/>
      <c r="J339" s="142" t="s">
        <v>22</v>
      </c>
      <c r="K339" s="142" t="s">
        <v>100</v>
      </c>
      <c r="M339" s="144"/>
    </row>
    <row r="340" s="5" customFormat="1" ht="15" customHeight="1" spans="1:255">
      <c r="A340" s="24">
        <v>5</v>
      </c>
      <c r="B340" s="25" t="s">
        <v>933</v>
      </c>
      <c r="C340" s="25" t="s">
        <v>934</v>
      </c>
      <c r="D340" s="205" t="s">
        <v>935</v>
      </c>
      <c r="E340" s="25" t="str">
        <f>IF(MOD(MID(D340,17,1),2),"男","女")</f>
        <v>男</v>
      </c>
      <c r="F340" s="24">
        <f ca="1">YEAR(NOW())-MID(D340,7,4)</f>
        <v>59</v>
      </c>
      <c r="G340" s="26">
        <v>18012538811</v>
      </c>
      <c r="H340" s="27">
        <v>41468</v>
      </c>
      <c r="I340" s="27"/>
      <c r="J340" s="25" t="s">
        <v>122</v>
      </c>
      <c r="K340" s="25" t="s">
        <v>936</v>
      </c>
      <c r="L340" s="25" t="str">
        <f ca="1" t="shared" ref="L340:L344" si="46">DATEDIF(H340,TODAY(),"Y")&amp;"年"&amp;DATEDIF(H340,TODAY(),"YM")&amp;"个月"</f>
        <v>12年9个月</v>
      </c>
      <c r="M340" s="25" t="s">
        <v>154</v>
      </c>
      <c r="N340" s="43"/>
      <c r="O340" s="25" t="s">
        <v>249</v>
      </c>
      <c r="P340" s="46" t="s">
        <v>111</v>
      </c>
      <c r="Q340" s="42"/>
      <c r="S340" s="42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  <c r="BP340" s="15"/>
      <c r="BQ340" s="15"/>
      <c r="BR340" s="15"/>
      <c r="BS340" s="15"/>
      <c r="BT340" s="15"/>
      <c r="BU340" s="15"/>
      <c r="BV340" s="15"/>
      <c r="BW340" s="15"/>
      <c r="BX340" s="15"/>
      <c r="BY340" s="15"/>
      <c r="BZ340" s="15"/>
      <c r="CA340" s="15"/>
      <c r="CB340" s="15"/>
      <c r="CC340" s="15"/>
      <c r="CD340" s="15"/>
      <c r="CE340" s="15"/>
      <c r="CF340" s="15"/>
      <c r="CG340" s="15"/>
      <c r="CH340" s="15"/>
      <c r="CI340" s="15"/>
      <c r="CJ340" s="15"/>
      <c r="CK340" s="15"/>
      <c r="CL340" s="15"/>
      <c r="CM340" s="15"/>
      <c r="CN340" s="15"/>
      <c r="CO340" s="15"/>
      <c r="CP340" s="15"/>
      <c r="CQ340" s="15"/>
      <c r="CR340" s="15"/>
      <c r="CS340" s="15"/>
      <c r="CT340" s="15"/>
      <c r="CU340" s="15"/>
      <c r="CV340" s="15"/>
      <c r="CW340" s="15"/>
      <c r="CX340" s="15"/>
      <c r="CY340" s="15"/>
      <c r="CZ340" s="15"/>
      <c r="DA340" s="15"/>
      <c r="DB340" s="15"/>
      <c r="DC340" s="15"/>
      <c r="DD340" s="15"/>
      <c r="DE340" s="15"/>
      <c r="DF340" s="15"/>
      <c r="DG340" s="15"/>
      <c r="DH340" s="15"/>
      <c r="DI340" s="15"/>
      <c r="DJ340" s="15"/>
      <c r="DK340" s="15"/>
      <c r="DL340" s="15"/>
      <c r="DM340" s="15"/>
      <c r="DN340" s="15"/>
      <c r="DO340" s="15"/>
      <c r="DP340" s="15"/>
      <c r="DQ340" s="15"/>
      <c r="DR340" s="15"/>
      <c r="DS340" s="15"/>
      <c r="DT340" s="15"/>
      <c r="DU340" s="15"/>
      <c r="DV340" s="15"/>
      <c r="DW340" s="15"/>
      <c r="DX340" s="15"/>
      <c r="DY340" s="15"/>
      <c r="DZ340" s="15"/>
      <c r="EA340" s="15"/>
      <c r="EB340" s="15"/>
      <c r="EC340" s="15"/>
      <c r="ED340" s="15"/>
      <c r="EE340" s="15"/>
      <c r="EF340" s="15"/>
      <c r="EG340" s="15"/>
      <c r="EH340" s="15"/>
      <c r="EI340" s="15"/>
      <c r="EJ340" s="15"/>
      <c r="EK340" s="15"/>
      <c r="EL340" s="15"/>
      <c r="EM340" s="15"/>
      <c r="EN340" s="15"/>
      <c r="EO340" s="15"/>
      <c r="EP340" s="15"/>
      <c r="EQ340" s="15"/>
      <c r="ER340" s="15"/>
      <c r="ES340" s="15"/>
      <c r="ET340" s="15"/>
      <c r="EU340" s="15"/>
      <c r="EV340" s="15"/>
      <c r="EW340" s="15"/>
      <c r="EX340" s="15"/>
      <c r="EY340" s="15"/>
      <c r="EZ340" s="15"/>
      <c r="FA340" s="15"/>
      <c r="FB340" s="15"/>
      <c r="FC340" s="15"/>
      <c r="FD340" s="15"/>
      <c r="FE340" s="15"/>
      <c r="FF340" s="15"/>
      <c r="FG340" s="15"/>
      <c r="FH340" s="15"/>
      <c r="FI340" s="15"/>
      <c r="FJ340" s="15"/>
      <c r="FK340" s="15"/>
      <c r="FL340" s="15"/>
      <c r="FM340" s="15"/>
      <c r="FN340" s="15"/>
      <c r="FO340" s="15"/>
      <c r="FP340" s="15"/>
      <c r="FQ340" s="15"/>
      <c r="FR340" s="15"/>
      <c r="FS340" s="15"/>
      <c r="FT340" s="15"/>
      <c r="FU340" s="15"/>
      <c r="FV340" s="15"/>
      <c r="FW340" s="15"/>
      <c r="FX340" s="15"/>
      <c r="FY340" s="15"/>
      <c r="FZ340" s="15"/>
      <c r="GA340" s="15"/>
      <c r="GB340" s="15"/>
      <c r="GC340" s="15"/>
      <c r="GD340" s="15"/>
      <c r="GE340" s="15"/>
      <c r="GF340" s="15"/>
      <c r="GG340" s="15"/>
      <c r="GH340" s="15"/>
      <c r="GI340" s="15"/>
      <c r="GJ340" s="15"/>
      <c r="GK340" s="15"/>
      <c r="GL340" s="15"/>
      <c r="GM340" s="15"/>
      <c r="GN340" s="15"/>
      <c r="GO340" s="15"/>
      <c r="GP340" s="15"/>
      <c r="GQ340" s="15"/>
      <c r="GR340" s="15"/>
      <c r="GS340" s="15"/>
      <c r="GT340" s="15"/>
      <c r="GU340" s="15"/>
      <c r="GV340" s="15"/>
      <c r="GW340" s="15"/>
      <c r="GX340" s="15"/>
      <c r="GY340" s="15"/>
      <c r="GZ340" s="15"/>
      <c r="HA340" s="15"/>
      <c r="HB340" s="15"/>
      <c r="HC340" s="15"/>
      <c r="HD340" s="15"/>
      <c r="HE340" s="15"/>
      <c r="HF340" s="15"/>
      <c r="HG340" s="15"/>
      <c r="HH340" s="15"/>
      <c r="HI340" s="15"/>
      <c r="HJ340" s="15"/>
      <c r="HK340" s="15"/>
      <c r="HL340" s="15"/>
      <c r="HM340" s="15"/>
      <c r="HN340" s="15"/>
      <c r="HO340" s="15"/>
      <c r="HP340" s="15"/>
      <c r="HQ340" s="15"/>
      <c r="HR340" s="15"/>
      <c r="HS340" s="15"/>
      <c r="HT340" s="15"/>
      <c r="HU340" s="15"/>
      <c r="HV340" s="15"/>
      <c r="HW340" s="15"/>
      <c r="HX340" s="15"/>
      <c r="HY340" s="15"/>
      <c r="HZ340" s="15"/>
      <c r="IA340" s="15"/>
      <c r="IB340" s="15"/>
      <c r="IC340" s="15"/>
      <c r="ID340" s="15"/>
      <c r="IE340" s="15"/>
      <c r="IF340" s="15"/>
      <c r="IG340" s="15"/>
      <c r="IH340" s="15"/>
      <c r="II340" s="15"/>
      <c r="IJ340" s="15"/>
      <c r="IK340" s="15"/>
      <c r="IL340" s="15"/>
      <c r="IM340" s="15"/>
      <c r="IN340" s="15"/>
      <c r="IO340" s="15"/>
      <c r="IP340" s="15"/>
      <c r="IQ340" s="15"/>
      <c r="IR340" s="15"/>
      <c r="IS340" s="15"/>
      <c r="IT340" s="15"/>
      <c r="IU340" s="15"/>
    </row>
    <row r="341" customFormat="1" ht="15" customHeight="1" spans="1:255">
      <c r="A341" s="24">
        <v>103</v>
      </c>
      <c r="B341" s="25" t="s">
        <v>937</v>
      </c>
      <c r="C341" s="18" t="s">
        <v>938</v>
      </c>
      <c r="D341" s="213" t="s">
        <v>939</v>
      </c>
      <c r="E341" s="18" t="s">
        <v>152</v>
      </c>
      <c r="F341" s="142">
        <v>45</v>
      </c>
      <c r="G341" s="142">
        <v>15751123487</v>
      </c>
      <c r="H341" s="143">
        <v>45918</v>
      </c>
      <c r="I341" s="142"/>
      <c r="J341" s="142" t="s">
        <v>22</v>
      </c>
      <c r="K341" s="142" t="s">
        <v>100</v>
      </c>
      <c r="L341" s="25" t="str">
        <f ca="1" t="shared" si="46"/>
        <v>0年6个月</v>
      </c>
      <c r="M341" s="48" t="s">
        <v>154</v>
      </c>
      <c r="O341" s="8"/>
      <c r="P341" s="8"/>
      <c r="Q341" s="8"/>
      <c r="R341" s="108"/>
      <c r="S341" s="8"/>
    </row>
    <row r="342" customFormat="1" ht="15" customHeight="1" spans="1:255">
      <c r="A342" s="179">
        <v>117</v>
      </c>
      <c r="B342" s="30" t="s">
        <v>940</v>
      </c>
      <c r="C342" s="185" t="s">
        <v>941</v>
      </c>
      <c r="D342" s="230" t="s">
        <v>942</v>
      </c>
      <c r="E342" s="142" t="s">
        <v>158</v>
      </c>
      <c r="F342" s="142">
        <v>44</v>
      </c>
      <c r="G342" s="230" t="s">
        <v>943</v>
      </c>
      <c r="H342" s="143">
        <v>45999</v>
      </c>
      <c r="I342" s="144"/>
      <c r="J342" s="142" t="s">
        <v>22</v>
      </c>
      <c r="K342" s="142" t="s">
        <v>115</v>
      </c>
      <c r="L342" s="30" t="str">
        <f ca="1" t="shared" si="46"/>
        <v>0年4个月</v>
      </c>
      <c r="M342" s="48" t="s">
        <v>154</v>
      </c>
      <c r="N342" s="144"/>
      <c r="P342" s="144"/>
      <c r="Q342" s="144"/>
      <c r="R342" s="144"/>
      <c r="S342" s="145"/>
    </row>
    <row r="343" s="17" customFormat="1" ht="15" customHeight="1" spans="1:255">
      <c r="A343" s="179">
        <v>111</v>
      </c>
      <c r="B343" s="30" t="s">
        <v>944</v>
      </c>
      <c r="C343" s="186" t="s">
        <v>945</v>
      </c>
      <c r="D343" s="234" t="s">
        <v>946</v>
      </c>
      <c r="E343" s="181" t="s">
        <v>158</v>
      </c>
      <c r="F343" s="188">
        <v>19</v>
      </c>
      <c r="G343" s="189">
        <v>17305414662</v>
      </c>
      <c r="H343" s="190">
        <v>45979</v>
      </c>
      <c r="I343" s="191"/>
      <c r="J343" s="192" t="s">
        <v>22</v>
      </c>
      <c r="K343" s="191"/>
      <c r="L343" s="30" t="str">
        <f ca="1" t="shared" si="46"/>
        <v>0年4个月</v>
      </c>
      <c r="M343" s="48" t="s">
        <v>154</v>
      </c>
      <c r="N343" s="191"/>
      <c r="O343" s="191"/>
      <c r="Q343" s="191"/>
      <c r="R343" s="191"/>
      <c r="S343" s="193"/>
    </row>
    <row r="344" s="17" customFormat="1" ht="15" customHeight="1" spans="1:255">
      <c r="A344" s="179">
        <v>113</v>
      </c>
      <c r="B344" s="30" t="s">
        <v>947</v>
      </c>
      <c r="C344" s="186" t="s">
        <v>948</v>
      </c>
      <c r="D344" s="187" t="s">
        <v>949</v>
      </c>
      <c r="E344" s="181" t="s">
        <v>158</v>
      </c>
      <c r="F344" s="188">
        <v>19</v>
      </c>
      <c r="G344" s="189">
        <v>13914652077</v>
      </c>
      <c r="H344" s="190">
        <v>45979</v>
      </c>
      <c r="I344" s="191"/>
      <c r="J344" s="192" t="s">
        <v>22</v>
      </c>
      <c r="K344" s="191"/>
      <c r="L344" s="30" t="str">
        <f ca="1" t="shared" si="46"/>
        <v>0年4个月</v>
      </c>
      <c r="M344" s="48" t="s">
        <v>154</v>
      </c>
      <c r="N344" s="191"/>
      <c r="P344" s="191"/>
      <c r="Q344" s="191"/>
      <c r="R344" s="191"/>
      <c r="S344" s="193"/>
    </row>
    <row r="345" customFormat="1" ht="15" customHeight="1" spans="1:255">
      <c r="A345" s="179">
        <v>122</v>
      </c>
      <c r="B345" s="30" t="s">
        <v>950</v>
      </c>
      <c r="C345" s="144" t="s">
        <v>951</v>
      </c>
      <c r="D345" s="230" t="s">
        <v>952</v>
      </c>
      <c r="E345" s="142" t="s">
        <v>152</v>
      </c>
      <c r="F345" s="142">
        <v>37</v>
      </c>
      <c r="G345" s="142">
        <v>18052937689</v>
      </c>
      <c r="H345" s="143">
        <v>46027</v>
      </c>
      <c r="I345" s="142"/>
      <c r="J345" s="142" t="s">
        <v>22</v>
      </c>
      <c r="K345" s="142" t="s">
        <v>100</v>
      </c>
      <c r="L345" s="30"/>
      <c r="M345" s="144"/>
      <c r="N345" s="8"/>
      <c r="O345" s="144"/>
      <c r="P345" s="144"/>
      <c r="Q345" s="144"/>
      <c r="R345" s="144"/>
      <c r="S345" s="145"/>
    </row>
    <row r="346" customFormat="1" ht="15" customHeight="1" spans="1:255">
      <c r="A346" s="179">
        <v>123</v>
      </c>
      <c r="B346" s="30" t="s">
        <v>953</v>
      </c>
      <c r="C346" s="144" t="s">
        <v>954</v>
      </c>
      <c r="D346" s="230" t="s">
        <v>955</v>
      </c>
      <c r="E346" s="142" t="s">
        <v>152</v>
      </c>
      <c r="F346" s="142">
        <v>42</v>
      </c>
      <c r="G346" s="142">
        <v>18352080361</v>
      </c>
      <c r="H346" s="143">
        <v>46027</v>
      </c>
      <c r="I346" s="142"/>
      <c r="J346" s="142" t="s">
        <v>22</v>
      </c>
      <c r="K346" s="142" t="s">
        <v>100</v>
      </c>
      <c r="L346" s="30"/>
      <c r="M346" s="144"/>
      <c r="N346" s="8"/>
      <c r="O346" s="144"/>
      <c r="P346" s="144"/>
      <c r="Q346" s="144"/>
      <c r="R346" s="144"/>
      <c r="S346" s="145"/>
    </row>
    <row r="347" customFormat="1" ht="15" customHeight="1" spans="1:255">
      <c r="A347" s="179">
        <v>124</v>
      </c>
      <c r="B347" s="30" t="s">
        <v>956</v>
      </c>
      <c r="C347" s="142" t="s">
        <v>957</v>
      </c>
      <c r="D347" s="230" t="s">
        <v>958</v>
      </c>
      <c r="E347" s="142" t="s">
        <v>152</v>
      </c>
      <c r="F347" s="142">
        <v>36</v>
      </c>
      <c r="G347" s="142">
        <v>15365795532</v>
      </c>
      <c r="H347" s="143">
        <v>46030</v>
      </c>
      <c r="I347" s="142"/>
      <c r="J347" s="142" t="s">
        <v>22</v>
      </c>
      <c r="K347" s="142" t="s">
        <v>100</v>
      </c>
      <c r="L347" s="30" t="str">
        <f ca="1" t="shared" ref="L347:L350" si="47">DATEDIF(H347,TODAY(),"Y")&amp;"年"&amp;DATEDIF(H347,TODAY(),"YM")&amp;"个月"</f>
        <v>0年3个月</v>
      </c>
      <c r="M347" s="144"/>
      <c r="N347" s="8"/>
      <c r="O347" s="144"/>
      <c r="P347" s="144"/>
      <c r="Q347" s="144"/>
      <c r="R347" s="144"/>
      <c r="S347" s="145"/>
    </row>
    <row r="348" s="9" customFormat="1" ht="15" customHeight="1" spans="1:255">
      <c r="A348" s="24">
        <v>87</v>
      </c>
      <c r="B348" s="141" t="s">
        <v>959</v>
      </c>
      <c r="C348" s="194" t="s">
        <v>960</v>
      </c>
      <c r="D348" s="235" t="s">
        <v>961</v>
      </c>
      <c r="E348" s="194" t="s">
        <v>152</v>
      </c>
      <c r="F348" s="194">
        <v>32</v>
      </c>
      <c r="G348" s="195">
        <v>17849115315</v>
      </c>
      <c r="H348" s="196">
        <v>45768</v>
      </c>
      <c r="I348" s="196"/>
      <c r="J348" s="194" t="s">
        <v>65</v>
      </c>
      <c r="K348" s="194" t="s">
        <v>554</v>
      </c>
      <c r="L348" s="47" t="str">
        <f ca="1" t="shared" si="47"/>
        <v>0年11个月</v>
      </c>
      <c r="M348" s="48" t="s">
        <v>154</v>
      </c>
      <c r="N348" s="48"/>
      <c r="O348" s="194"/>
      <c r="P348" s="48"/>
      <c r="Q348" s="48"/>
      <c r="R348" s="52" t="s">
        <v>918</v>
      </c>
      <c r="S348" s="48"/>
    </row>
    <row r="349" customFormat="1" ht="15" customHeight="1" spans="1:255">
      <c r="A349" s="24">
        <v>102</v>
      </c>
      <c r="B349" s="25" t="s">
        <v>865</v>
      </c>
      <c r="C349" s="142" t="s">
        <v>962</v>
      </c>
      <c r="D349" s="230" t="s">
        <v>963</v>
      </c>
      <c r="E349" s="142" t="s">
        <v>152</v>
      </c>
      <c r="F349" s="18">
        <v>36</v>
      </c>
      <c r="G349" s="18">
        <v>18352082630</v>
      </c>
      <c r="H349" s="66">
        <v>45902</v>
      </c>
      <c r="I349" s="18"/>
      <c r="J349" s="142" t="s">
        <v>22</v>
      </c>
      <c r="K349" s="18" t="s">
        <v>180</v>
      </c>
      <c r="L349" s="25" t="str">
        <f ca="1" t="shared" si="47"/>
        <v>0年7个月</v>
      </c>
      <c r="M349" s="48" t="s">
        <v>154</v>
      </c>
      <c r="N349" s="8"/>
      <c r="O349" s="8"/>
      <c r="P349" s="8"/>
      <c r="Q349" s="108"/>
      <c r="S349" s="8"/>
    </row>
    <row r="350" s="6" customFormat="1" ht="15" customHeight="1" spans="1:255">
      <c r="A350" s="24">
        <v>60</v>
      </c>
      <c r="B350" s="48" t="s">
        <v>184</v>
      </c>
      <c r="C350" s="30" t="s">
        <v>964</v>
      </c>
      <c r="D350" s="207" t="s">
        <v>965</v>
      </c>
      <c r="E350" s="30" t="s">
        <v>152</v>
      </c>
      <c r="F350" s="179">
        <v>34</v>
      </c>
      <c r="G350" s="179">
        <v>13770215900</v>
      </c>
      <c r="H350" s="197">
        <v>45439</v>
      </c>
      <c r="I350" s="60"/>
      <c r="J350" s="48" t="s">
        <v>22</v>
      </c>
      <c r="K350" s="48" t="s">
        <v>33</v>
      </c>
      <c r="L350" s="25" t="str">
        <f ca="1" t="shared" si="47"/>
        <v>1年10个月</v>
      </c>
      <c r="M350" s="48" t="s">
        <v>154</v>
      </c>
      <c r="O350" s="98"/>
      <c r="P350" s="48" t="s">
        <v>396</v>
      </c>
      <c r="Q350" s="48"/>
      <c r="R350" s="48" t="s">
        <v>397</v>
      </c>
      <c r="S350" s="48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  <c r="CO350" s="9"/>
      <c r="CP350" s="9"/>
      <c r="CQ350" s="9"/>
      <c r="CR350" s="9"/>
      <c r="CS350" s="9"/>
      <c r="CT350" s="9"/>
      <c r="CU350" s="9"/>
      <c r="CV350" s="9"/>
      <c r="CW350" s="9"/>
      <c r="CX350" s="9"/>
      <c r="CY350" s="9"/>
      <c r="CZ350" s="9"/>
      <c r="DA350" s="9"/>
      <c r="DB350" s="9"/>
      <c r="DC350" s="9"/>
      <c r="DD350" s="9"/>
      <c r="DE350" s="9"/>
      <c r="DF350" s="9"/>
      <c r="DG350" s="9"/>
      <c r="DH350" s="9"/>
      <c r="DI350" s="9"/>
      <c r="DJ350" s="9"/>
      <c r="DK350" s="9"/>
      <c r="DL350" s="9"/>
      <c r="DM350" s="9"/>
      <c r="DN350" s="9"/>
      <c r="DO350" s="9"/>
      <c r="DP350" s="9"/>
      <c r="DQ350" s="9"/>
      <c r="DR350" s="9"/>
      <c r="DS350" s="9"/>
      <c r="DT350" s="9"/>
      <c r="DU350" s="9"/>
      <c r="DV350" s="9"/>
      <c r="DW350" s="9"/>
      <c r="DX350" s="9"/>
      <c r="DY350" s="9"/>
      <c r="DZ350" s="9"/>
      <c r="EA350" s="9"/>
      <c r="EB350" s="9"/>
      <c r="EC350" s="9"/>
      <c r="ED350" s="9"/>
      <c r="EE350" s="9"/>
      <c r="EF350" s="9"/>
      <c r="EG350" s="9"/>
      <c r="EH350" s="9"/>
      <c r="EI350" s="9"/>
      <c r="EJ350" s="9"/>
      <c r="EK350" s="9"/>
      <c r="EL350" s="9"/>
      <c r="EM350" s="9"/>
      <c r="EN350" s="9"/>
      <c r="EO350" s="9"/>
      <c r="EP350" s="9"/>
      <c r="EQ350" s="9"/>
      <c r="ER350" s="9"/>
      <c r="ES350" s="9"/>
      <c r="ET350" s="9"/>
      <c r="EU350" s="9"/>
      <c r="EV350" s="9"/>
      <c r="EW350" s="9"/>
      <c r="EX350" s="9"/>
      <c r="EY350" s="9"/>
      <c r="EZ350" s="9"/>
      <c r="FA350" s="9"/>
      <c r="FB350" s="9"/>
      <c r="FC350" s="9"/>
      <c r="FD350" s="9"/>
      <c r="FE350" s="9"/>
      <c r="FF350" s="9"/>
      <c r="FG350" s="9"/>
      <c r="FH350" s="9"/>
      <c r="FI350" s="9"/>
      <c r="FJ350" s="9"/>
      <c r="FK350" s="9"/>
      <c r="FL350" s="9"/>
      <c r="FM350" s="9"/>
      <c r="FN350" s="9"/>
      <c r="FO350" s="9"/>
      <c r="FP350" s="9"/>
      <c r="FQ350" s="9"/>
      <c r="FR350" s="9"/>
      <c r="FS350" s="9"/>
      <c r="FT350" s="9"/>
      <c r="FU350" s="9"/>
      <c r="FV350" s="9"/>
      <c r="FW350" s="9"/>
      <c r="FX350" s="9"/>
      <c r="FY350" s="9"/>
      <c r="FZ350" s="9"/>
      <c r="GA350" s="9"/>
      <c r="GB350" s="9"/>
      <c r="GC350" s="9"/>
      <c r="GD350" s="9"/>
      <c r="GE350" s="9"/>
      <c r="GF350" s="9"/>
      <c r="GG350" s="9"/>
      <c r="GH350" s="9"/>
      <c r="GI350" s="9"/>
      <c r="GJ350" s="9"/>
      <c r="GK350" s="9"/>
      <c r="GL350" s="9"/>
      <c r="GM350" s="9"/>
      <c r="GN350" s="9"/>
      <c r="GO350" s="9"/>
      <c r="GP350" s="9"/>
      <c r="GQ350" s="9"/>
      <c r="GR350" s="9"/>
      <c r="GS350" s="9"/>
      <c r="GT350" s="9"/>
      <c r="GU350" s="9"/>
      <c r="GV350" s="9"/>
      <c r="GW350" s="9"/>
      <c r="GX350" s="9"/>
      <c r="GY350" s="9"/>
      <c r="GZ350" s="9"/>
      <c r="HA350" s="9"/>
      <c r="HB350" s="9"/>
      <c r="HC350" s="9"/>
      <c r="HD350" s="9"/>
      <c r="HE350" s="9"/>
      <c r="HF350" s="9"/>
      <c r="HG350" s="9"/>
      <c r="HH350" s="9"/>
      <c r="HI350" s="9"/>
      <c r="HJ350" s="9"/>
      <c r="HK350" s="9"/>
      <c r="HL350" s="9"/>
      <c r="HM350" s="9"/>
      <c r="HN350" s="9"/>
      <c r="HO350" s="9"/>
      <c r="HP350" s="9"/>
      <c r="HQ350" s="9"/>
      <c r="HR350" s="9"/>
      <c r="HS350" s="9"/>
      <c r="HT350" s="9"/>
      <c r="HU350" s="9"/>
      <c r="HV350" s="9"/>
      <c r="HW350" s="9"/>
      <c r="HX350" s="9"/>
      <c r="HY350" s="9"/>
      <c r="HZ350" s="9"/>
      <c r="IA350" s="9"/>
      <c r="IB350" s="9"/>
      <c r="IC350" s="9"/>
      <c r="ID350" s="9"/>
      <c r="IE350" s="9"/>
      <c r="IF350" s="9"/>
      <c r="IG350" s="9"/>
      <c r="IH350" s="9"/>
      <c r="II350" s="9"/>
      <c r="IJ350" s="9"/>
      <c r="IK350" s="9"/>
      <c r="IL350" s="9"/>
      <c r="IM350" s="9"/>
      <c r="IN350" s="9"/>
      <c r="IO350" s="9"/>
      <c r="IP350" s="9"/>
      <c r="IQ350" s="9"/>
      <c r="IR350" s="9"/>
      <c r="IS350" s="9"/>
      <c r="IT350" s="9"/>
      <c r="IU350" s="9"/>
    </row>
    <row r="351" s="8" customFormat="1" ht="15" customHeight="1" spans="1:255">
      <c r="A351" s="103">
        <v>101</v>
      </c>
      <c r="B351" s="126" t="s">
        <v>966</v>
      </c>
      <c r="C351" s="18" t="s">
        <v>967</v>
      </c>
      <c r="D351" s="213" t="s">
        <v>968</v>
      </c>
      <c r="E351" s="18" t="s">
        <v>152</v>
      </c>
      <c r="F351" s="18">
        <v>38</v>
      </c>
      <c r="G351" s="18">
        <v>13270060449</v>
      </c>
      <c r="H351" s="66">
        <v>46050</v>
      </c>
      <c r="I351" s="18"/>
      <c r="J351" s="18" t="s">
        <v>22</v>
      </c>
      <c r="K351" s="18" t="s">
        <v>180</v>
      </c>
      <c r="L351" s="18"/>
      <c r="M351" s="18"/>
    </row>
    <row r="352" customFormat="1" ht="15" customHeight="1" spans="1:255">
      <c r="A352" s="24">
        <v>94</v>
      </c>
      <c r="B352" s="30" t="s">
        <v>969</v>
      </c>
      <c r="C352" s="185" t="s">
        <v>970</v>
      </c>
      <c r="D352" s="230" t="s">
        <v>971</v>
      </c>
      <c r="E352" s="142" t="s">
        <v>158</v>
      </c>
      <c r="F352" s="142">
        <v>28</v>
      </c>
      <c r="G352" s="142">
        <v>18918061473</v>
      </c>
      <c r="H352" s="143">
        <v>46008</v>
      </c>
      <c r="I352" s="142"/>
      <c r="J352" s="142" t="s">
        <v>122</v>
      </c>
      <c r="K352" s="142" t="s">
        <v>123</v>
      </c>
      <c r="L352" s="30" t="str">
        <f ca="1">DATEDIF(H352,TODAY(),"Y")&amp;"年"&amp;DATEDIF(H352,TODAY(),"YM")&amp;"个月"</f>
        <v>0年3个月</v>
      </c>
      <c r="M352" s="48" t="s">
        <v>154</v>
      </c>
      <c r="N352" s="144"/>
      <c r="P352" s="144"/>
      <c r="Q352" s="144"/>
      <c r="R352" s="144"/>
      <c r="S352" s="145"/>
    </row>
    <row r="353" s="8" customFormat="1" ht="15" customHeight="1" spans="1:20">
      <c r="A353" s="24">
        <v>97</v>
      </c>
      <c r="B353" s="126" t="s">
        <v>953</v>
      </c>
      <c r="C353" s="18" t="s">
        <v>972</v>
      </c>
      <c r="D353" s="213" t="s">
        <v>973</v>
      </c>
      <c r="E353" s="18" t="s">
        <v>152</v>
      </c>
      <c r="F353" s="18">
        <v>49</v>
      </c>
      <c r="G353" s="18">
        <v>13912508708</v>
      </c>
      <c r="H353" s="66">
        <v>46041</v>
      </c>
      <c r="J353" s="18" t="s">
        <v>22</v>
      </c>
      <c r="K353" s="18" t="s">
        <v>100</v>
      </c>
      <c r="L353" s="126" t="str">
        <f ca="1">DATEDIF(H353,TODAY(),"Y")&amp;"年"&amp;DATEDIF(H353,TODAY(),"YM")&amp;"个月"</f>
        <v>0年2个月</v>
      </c>
      <c r="M353" s="48" t="s">
        <v>154</v>
      </c>
    </row>
    <row r="354" s="8" customFormat="1" ht="15" customHeight="1" spans="1:20">
      <c r="A354" s="24">
        <v>98</v>
      </c>
      <c r="B354" s="126" t="s">
        <v>956</v>
      </c>
      <c r="C354" s="18" t="s">
        <v>974</v>
      </c>
      <c r="D354" s="213" t="s">
        <v>975</v>
      </c>
      <c r="E354" s="18" t="s">
        <v>152</v>
      </c>
      <c r="F354" s="18">
        <v>48</v>
      </c>
      <c r="G354" s="18">
        <v>13270051972</v>
      </c>
      <c r="H354" s="66">
        <v>46049</v>
      </c>
      <c r="I354" s="18"/>
      <c r="J354" s="18" t="s">
        <v>22</v>
      </c>
      <c r="K354" s="18" t="s">
        <v>180</v>
      </c>
    </row>
    <row r="355" customFormat="1" ht="15" customHeight="1" spans="1:20">
      <c r="A355" s="24">
        <v>99</v>
      </c>
      <c r="B355" s="126" t="s">
        <v>976</v>
      </c>
      <c r="C355" s="198" t="s">
        <v>977</v>
      </c>
      <c r="D355" s="236" t="s">
        <v>978</v>
      </c>
      <c r="E355" s="198" t="s">
        <v>152</v>
      </c>
      <c r="F355" s="198">
        <v>38</v>
      </c>
      <c r="G355" s="198">
        <v>18752230849</v>
      </c>
      <c r="H355" s="199">
        <v>46050</v>
      </c>
      <c r="I355" s="198"/>
      <c r="J355" s="198" t="s">
        <v>22</v>
      </c>
      <c r="K355" s="18" t="s">
        <v>180</v>
      </c>
      <c r="L355" s="200"/>
      <c r="M355" s="200"/>
      <c r="N355" s="200"/>
      <c r="O355" s="200"/>
      <c r="Q355" s="200"/>
      <c r="R355" s="200"/>
      <c r="S355" s="201"/>
    </row>
    <row r="356" customFormat="1" ht="15" customHeight="1" spans="1:20">
      <c r="A356" s="24">
        <v>100</v>
      </c>
      <c r="B356" s="126" t="s">
        <v>979</v>
      </c>
      <c r="C356" s="142" t="s">
        <v>980</v>
      </c>
      <c r="D356" s="230" t="s">
        <v>981</v>
      </c>
      <c r="E356" s="142" t="s">
        <v>152</v>
      </c>
      <c r="F356" s="142">
        <v>53</v>
      </c>
      <c r="G356" s="142">
        <v>18661659486</v>
      </c>
      <c r="H356" s="143">
        <v>46042</v>
      </c>
      <c r="I356" s="18"/>
      <c r="J356" s="18" t="s">
        <v>22</v>
      </c>
      <c r="K356" s="18" t="s">
        <v>180</v>
      </c>
      <c r="L356" s="144"/>
      <c r="M356" s="144"/>
      <c r="N356" s="144"/>
      <c r="O356" s="144"/>
      <c r="Q356" s="144"/>
      <c r="R356" s="144"/>
      <c r="S356" s="145"/>
    </row>
    <row r="357" s="16" customFormat="1" ht="15" customHeight="1" spans="1:20">
      <c r="A357" s="24">
        <v>88</v>
      </c>
      <c r="B357" s="30" t="s">
        <v>982</v>
      </c>
      <c r="C357" s="181" t="s">
        <v>983</v>
      </c>
      <c r="D357" s="237" t="s">
        <v>984</v>
      </c>
      <c r="E357" s="181" t="s">
        <v>152</v>
      </c>
      <c r="F357" s="181">
        <v>42</v>
      </c>
      <c r="G357" s="181">
        <v>18051712588</v>
      </c>
      <c r="H357" s="202">
        <v>45938</v>
      </c>
      <c r="I357" s="181"/>
      <c r="J357" s="181" t="s">
        <v>22</v>
      </c>
      <c r="K357" s="181" t="s">
        <v>100</v>
      </c>
      <c r="M357" s="30" t="str">
        <f ca="1">DATEDIF(H357,TODAY(),"Y")&amp;"年"&amp;DATEDIF(H357,TODAY(),"YM")&amp;"个月"</f>
        <v>0年6个月</v>
      </c>
      <c r="N357" s="48" t="s">
        <v>154</v>
      </c>
      <c r="O357" s="203"/>
      <c r="P357" s="203"/>
      <c r="Q357" s="203"/>
      <c r="R357" s="203"/>
      <c r="S357" s="204"/>
    </row>
    <row r="358" s="8" customFormat="1" ht="15" customHeight="1" spans="1:20">
      <c r="A358" s="24">
        <v>100</v>
      </c>
      <c r="B358" s="30" t="s">
        <v>976</v>
      </c>
      <c r="C358" s="18" t="s">
        <v>985</v>
      </c>
      <c r="D358" s="213" t="s">
        <v>986</v>
      </c>
      <c r="E358" s="18" t="s">
        <v>152</v>
      </c>
      <c r="F358" s="18">
        <v>39</v>
      </c>
      <c r="G358" s="18">
        <v>13962027495</v>
      </c>
      <c r="H358" s="66">
        <v>46078</v>
      </c>
      <c r="I358" s="66">
        <v>46082</v>
      </c>
      <c r="J358" s="18" t="s">
        <v>22</v>
      </c>
      <c r="K358" s="18" t="s">
        <v>100</v>
      </c>
      <c r="M358" s="18"/>
      <c r="N358" s="18"/>
    </row>
    <row r="359" s="18" customFormat="1" ht="15" customHeight="1" spans="1:20">
      <c r="A359" s="103">
        <v>99</v>
      </c>
      <c r="B359" s="126" t="s">
        <v>966</v>
      </c>
      <c r="C359" s="18" t="s">
        <v>987</v>
      </c>
      <c r="D359" s="213" t="s">
        <v>988</v>
      </c>
      <c r="E359" s="18" t="s">
        <v>152</v>
      </c>
      <c r="F359" s="18">
        <v>41</v>
      </c>
      <c r="G359" s="18">
        <v>1879668053</v>
      </c>
      <c r="H359" s="66">
        <v>46078</v>
      </c>
      <c r="J359" s="18" t="s">
        <v>22</v>
      </c>
      <c r="K359" s="18" t="s">
        <v>100</v>
      </c>
      <c r="M359" s="8"/>
      <c r="N359" s="8"/>
    </row>
    <row r="360" customFormat="1" ht="15" customHeight="1" spans="1:20">
      <c r="A360" s="24">
        <v>93</v>
      </c>
      <c r="B360" s="30" t="s">
        <v>989</v>
      </c>
      <c r="C360" s="185" t="s">
        <v>990</v>
      </c>
      <c r="D360" s="230" t="s">
        <v>991</v>
      </c>
      <c r="E360" s="142" t="s">
        <v>158</v>
      </c>
      <c r="F360" s="142">
        <v>43</v>
      </c>
      <c r="G360" s="142">
        <v>18961984983</v>
      </c>
      <c r="H360" s="143">
        <v>46013</v>
      </c>
      <c r="I360" s="144"/>
      <c r="J360" s="142" t="s">
        <v>122</v>
      </c>
      <c r="K360" s="142" t="s">
        <v>123</v>
      </c>
      <c r="L360" s="30" t="str">
        <f ca="1">DATEDIF(H360,TODAY(),"Y")&amp;"年"&amp;DATEDIF(H360,TODAY(),"YM")&amp;"个月"</f>
        <v>0年3个月</v>
      </c>
      <c r="M360" s="48" t="s">
        <v>154</v>
      </c>
      <c r="O360" s="144"/>
      <c r="P360" s="144"/>
      <c r="Q360" s="144"/>
      <c r="R360" s="144"/>
      <c r="S360" s="145"/>
    </row>
    <row r="361" s="8" customFormat="1" ht="15" customHeight="1" spans="1:20">
      <c r="A361" s="103">
        <v>97</v>
      </c>
      <c r="B361" s="126" t="s">
        <v>953</v>
      </c>
      <c r="C361" s="18" t="s">
        <v>992</v>
      </c>
      <c r="D361" s="213" t="s">
        <v>993</v>
      </c>
      <c r="E361" s="18" t="s">
        <v>152</v>
      </c>
      <c r="F361" s="18">
        <v>39</v>
      </c>
      <c r="G361" s="18">
        <v>13770211293</v>
      </c>
      <c r="H361" s="66">
        <v>46076</v>
      </c>
      <c r="I361" s="18"/>
      <c r="J361" s="18" t="s">
        <v>22</v>
      </c>
      <c r="K361" s="18" t="s">
        <v>180</v>
      </c>
    </row>
    <row r="362" customFormat="1" ht="15" customHeight="1" spans="1:20">
      <c r="A362" s="24">
        <v>105</v>
      </c>
      <c r="B362" s="30" t="s">
        <v>994</v>
      </c>
      <c r="C362" s="142" t="s">
        <v>995</v>
      </c>
      <c r="D362" s="230" t="s">
        <v>996</v>
      </c>
      <c r="E362" s="198" t="s">
        <v>152</v>
      </c>
      <c r="F362" s="198">
        <v>31</v>
      </c>
      <c r="G362" s="198">
        <v>17706209161</v>
      </c>
      <c r="H362" s="199">
        <v>46083</v>
      </c>
      <c r="I362" s="198"/>
      <c r="J362" s="198" t="s">
        <v>180</v>
      </c>
      <c r="K362" s="198" t="s">
        <v>100</v>
      </c>
      <c r="M362" s="25" t="str">
        <f ca="1">DATEDIF(H362,TODAY(),"Y")&amp;"年"&amp;DATEDIF(H362,TODAY(),"YM")&amp;"个月"</f>
        <v>0年1个月</v>
      </c>
      <c r="N362" s="48" t="s">
        <v>154</v>
      </c>
      <c r="O362" s="144"/>
      <c r="P362" s="144"/>
      <c r="Q362" s="144"/>
      <c r="R362" s="144"/>
      <c r="S362" s="145"/>
    </row>
    <row r="363" customFormat="1" ht="15" customHeight="1" spans="1:20">
      <c r="A363" s="103">
        <v>112</v>
      </c>
      <c r="B363" s="126" t="s">
        <v>997</v>
      </c>
      <c r="C363" s="18" t="s">
        <v>998</v>
      </c>
      <c r="D363" s="18" t="s">
        <v>999</v>
      </c>
      <c r="E363" s="18" t="s">
        <v>152</v>
      </c>
      <c r="F363" s="18">
        <v>38</v>
      </c>
      <c r="G363" s="18">
        <v>15251156653</v>
      </c>
      <c r="H363" s="66">
        <v>46097</v>
      </c>
      <c r="I363" s="18"/>
      <c r="J363" s="18"/>
      <c r="L363" s="18"/>
      <c r="M363" s="8"/>
      <c r="N363" s="8"/>
      <c r="O363" s="8"/>
      <c r="P363" s="144"/>
      <c r="Q363" s="144"/>
      <c r="R363" s="144"/>
      <c r="S363" s="144"/>
      <c r="T363" s="106"/>
    </row>
  </sheetData>
  <mergeCells count="1">
    <mergeCell ref="A1:S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离职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tonyh</dc:creator>
  <cp:lastModifiedBy>黄子迅</cp:lastModifiedBy>
  <dcterms:created xsi:type="dcterms:W3CDTF">2026-04-13T18:03:19Z</dcterms:created>
  <dcterms:modified xsi:type="dcterms:W3CDTF">2026-04-13T18:03:19Z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A2A5C66FC5034FC1BFBFD31446FD0B58_11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