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05"/>
  </bookViews>
  <sheets>
    <sheet name="生产普工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<sst xmlns="http://schemas.openxmlformats.org/spreadsheetml/2006/main" count="62" uniqueCount="50">
  <si>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序号</t>
  </si>
  <si>
    <t>姓名</t>
  </si>
  <si>
    <t>岗位</t>
  </si>
  <si>
    <t>备注</t>
  </si>
  <si>
    <t>33人，3人可妈妈班，生产部共需求30人，已有23人，一周内陆续到岗5人。</t>
  </si>
  <si>
    <t>姚正军</t>
  </si>
  <si>
    <t>胥素妹</t>
  </si>
  <si>
    <t>苏芹</t>
  </si>
  <si>
    <t>陆会苹</t>
  </si>
  <si>
    <t>沈宗顺</t>
  </si>
  <si>
    <t>单和巧</t>
  </si>
  <si>
    <t>丁荣国</t>
  </si>
  <si>
    <t>蒋海方</t>
  </si>
  <si>
    <t>领料</t>
  </si>
  <si>
    <t>薛季国</t>
  </si>
  <si>
    <t>徐春刚</t>
  </si>
  <si>
    <t>陆文珍</t>
  </si>
  <si>
    <t>谢小艳</t>
  </si>
  <si>
    <t>吴志华</t>
  </si>
  <si>
    <t>张兴兰</t>
  </si>
  <si>
    <t>成中海</t>
  </si>
  <si>
    <t>杨海英</t>
  </si>
  <si>
    <t>谢玉娟</t>
  </si>
  <si>
    <t>祁斯秀</t>
  </si>
  <si>
    <t>陆立兄</t>
  </si>
  <si>
    <t>吴金凤</t>
  </si>
  <si>
    <t>王俊康</t>
  </si>
  <si>
    <t>李立芳</t>
  </si>
  <si>
    <t>粉</t>
  </si>
  <si>
    <t>欧荣妹</t>
  </si>
  <si>
    <t>张丹丹</t>
  </si>
  <si>
    <t>妈妈班</t>
  </si>
  <si>
    <t>顾汉芳</t>
  </si>
  <si>
    <t>杨云丽</t>
  </si>
  <si>
    <t>洪玲</t>
  </si>
  <si>
    <t>严栋</t>
  </si>
  <si>
    <t>李乃杰</t>
  </si>
  <si>
    <t>支援</t>
  </si>
  <si>
    <t>夏斯香</t>
  </si>
  <si>
    <t>贸易仓库</t>
  </si>
  <si>
    <t>杨云龙</t>
  </si>
  <si>
    <t>320925198801141477</t>
  </si>
  <si>
    <t>男</t>
  </si>
  <si>
    <t>吹塑临时工</t>
  </si>
  <si>
    <t>白班150</t>
  </si>
  <si>
    <t>夜班180</t>
  </si>
  <si>
    <t>卢媛妮</t>
  </si>
  <si>
    <t>522426197904100065</t>
  </si>
  <si>
    <t>女</t>
  </si>
  <si>
    <t>注塑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</si>
</sst>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ocuments\WeChat Files\Miyalove5\FileStorage\File\2024-01\&#32570;&#23703;&#23703;&#20301;&#65292;&#23703;&#20301;&#38656;&#2771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2">
          <cell r="C2" t="str">
            <v>苏芹</v>
          </cell>
          <cell r="D2" t="str">
            <v>配液</v>
          </cell>
        </row>
        <row r="3">
          <cell r="C3" t="str">
            <v>成中海</v>
          </cell>
          <cell r="D3" t="str">
            <v>配液</v>
          </cell>
        </row>
        <row r="4">
          <cell r="C4" t="str">
            <v>姚正军</v>
          </cell>
          <cell r="D4" t="str">
            <v>灌装/检漏</v>
          </cell>
        </row>
        <row r="5">
          <cell r="C5" t="str">
            <v>丁荣国</v>
          </cell>
          <cell r="D5" t="str">
            <v>灌装/检漏</v>
          </cell>
        </row>
        <row r="6">
          <cell r="C6" t="str">
            <v>谢小艳</v>
          </cell>
          <cell r="D6" t="str">
            <v>检漏</v>
          </cell>
        </row>
        <row r="7">
          <cell r="C7" t="str">
            <v>王俊康</v>
          </cell>
          <cell r="D7" t="str">
            <v>检漏</v>
          </cell>
        </row>
        <row r="8">
          <cell r="C8" t="str">
            <v>缺失（新人试用）</v>
          </cell>
          <cell r="D8" t="str">
            <v>检漏</v>
          </cell>
        </row>
        <row r="9">
          <cell r="C9" t="str">
            <v>吴志华</v>
          </cell>
          <cell r="D9" t="str">
            <v>外包</v>
          </cell>
        </row>
        <row r="10">
          <cell r="C10" t="str">
            <v>薛季国</v>
          </cell>
          <cell r="D10" t="str">
            <v>外包</v>
          </cell>
        </row>
        <row r="11">
          <cell r="C11" t="str">
            <v>胥素妹</v>
          </cell>
          <cell r="D11" t="str">
            <v>吹塑</v>
          </cell>
        </row>
        <row r="12">
          <cell r="C12" t="str">
            <v>陆会苹</v>
          </cell>
          <cell r="D12" t="str">
            <v>吹塑</v>
          </cell>
        </row>
        <row r="13">
          <cell r="C13" t="str">
            <v>单和巧</v>
          </cell>
          <cell r="D13" t="str">
            <v>吹塑</v>
          </cell>
        </row>
        <row r="14">
          <cell r="C14" t="str">
            <v>陆立兄</v>
          </cell>
          <cell r="D14" t="str">
            <v>吹塑</v>
          </cell>
        </row>
        <row r="15">
          <cell r="C15" t="str">
            <v>缺失</v>
          </cell>
          <cell r="D15" t="str">
            <v>注塑</v>
          </cell>
        </row>
        <row r="16">
          <cell r="C16" t="str">
            <v>缺失</v>
          </cell>
          <cell r="D16" t="str">
            <v>注塑</v>
          </cell>
        </row>
        <row r="17">
          <cell r="C17" t="str">
            <v>张兴兰</v>
          </cell>
          <cell r="D17" t="str">
            <v>/</v>
          </cell>
        </row>
        <row r="18">
          <cell r="C18" t="str">
            <v>蒋海方</v>
          </cell>
          <cell r="D18" t="str">
            <v>/</v>
          </cell>
        </row>
        <row r="19">
          <cell r="C19" t="str">
            <v>陆文珍（请假）</v>
          </cell>
          <cell r="D19" t="str">
            <v>混料、上料1</v>
          </cell>
        </row>
        <row r="20">
          <cell r="C20" t="str">
            <v>缺失</v>
          </cell>
          <cell r="D20" t="str">
            <v>混料、上料2</v>
          </cell>
        </row>
        <row r="21">
          <cell r="C21" t="str">
            <v>缺失</v>
          </cell>
          <cell r="D21" t="str">
            <v>上料</v>
          </cell>
        </row>
        <row r="22">
          <cell r="C22" t="str">
            <v>杨海英</v>
          </cell>
          <cell r="D22" t="str">
            <v>小料称量</v>
          </cell>
        </row>
        <row r="23">
          <cell r="C23" t="str">
            <v>吴金凤</v>
          </cell>
          <cell r="D23" t="str">
            <v>接料</v>
          </cell>
        </row>
        <row r="24">
          <cell r="C24" t="str">
            <v>谢玉娟</v>
          </cell>
          <cell r="D24" t="str">
            <v>封口</v>
          </cell>
        </row>
        <row r="25">
          <cell r="C25" t="str">
            <v>祁斯秀</v>
          </cell>
          <cell r="D25" t="str">
            <v>外包封口</v>
          </cell>
        </row>
        <row r="26">
          <cell r="C26" t="str">
            <v>沈宗顺</v>
          </cell>
          <cell r="D26" t="str">
            <v>外包装箱</v>
          </cell>
        </row>
        <row r="27">
          <cell r="C27" t="str">
            <v>孙建英（临工）</v>
          </cell>
          <cell r="D27" t="str">
            <v>上料兼接料</v>
          </cell>
        </row>
        <row r="28">
          <cell r="C28" t="str">
            <v>洪玲</v>
          </cell>
          <cell r="D28" t="str">
            <v>封口</v>
          </cell>
        </row>
        <row r="29">
          <cell r="C29" t="str">
            <v>妈妈班</v>
          </cell>
          <cell r="D29" t="str">
            <v>捡漏</v>
          </cell>
        </row>
        <row r="30">
          <cell r="C30" t="str">
            <v>妈妈班</v>
          </cell>
          <cell r="D30" t="str">
            <v>塞盖帽、贴标签</v>
          </cell>
        </row>
        <row r="31">
          <cell r="C31" t="str">
            <v>严栋</v>
          </cell>
          <cell r="D31" t="str">
            <v>外包装箱</v>
          </cell>
        </row>
        <row r="32">
          <cell r="C32" t="str">
            <v>缺失</v>
          </cell>
          <cell r="D32" t="str">
            <v>干粉桶装配</v>
          </cell>
        </row>
        <row r="33">
          <cell r="C33" t="str">
            <v>缺失</v>
          </cell>
          <cell r="D33" t="str">
            <v>干粉袋装配</v>
          </cell>
        </row>
        <row r="34">
          <cell r="C34" t="str">
            <v>缺失</v>
          </cell>
          <cell r="D34" t="str">
            <v>制袋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"/>
  <sheetViews>
    <sheetView tabSelected="1" workbookViewId="0">
      <selection activeCell="H96" sqref="H96"/>
    </sheetView>
  </sheetViews>
  <sheetFormatPr defaultColWidth="9" defaultRowHeight="15.75"/>
  <cols>
    <col min="1" max="4" width="15.375" customWidth="1"/>
    <col min="5" max="5" width="15.75" customWidth="1"/>
    <col min="7" max="7" width="12.625"/>
    <col min="8" max="8" width="11.5"/>
  </cols>
  <sheetData>
    <row r="1" ht="33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1</v>
      </c>
      <c r="B2" s="3" t="s">
        <v>5</v>
      </c>
      <c r="C2" s="3" t="str">
        <f>VLOOKUP(B2,[1]Sheet1!$C$2:$D$34,2,0)</f>
        <v>灌装/检漏</v>
      </c>
      <c r="D2" s="3"/>
      <c r="E2" s="2"/>
    </row>
    <row r="3" spans="1:5">
      <c r="A3" s="3">
        <v>2</v>
      </c>
      <c r="B3" s="3" t="s">
        <v>6</v>
      </c>
      <c r="C3" s="3" t="str">
        <f>VLOOKUP(B3,[1]Sheet1!$C$2:$D$34,2,0)</f>
        <v>吹塑</v>
      </c>
      <c r="D3" s="3"/>
      <c r="E3" s="2"/>
    </row>
    <row r="4" spans="1:5">
      <c r="A4" s="3">
        <v>3</v>
      </c>
      <c r="B4" s="3" t="s">
        <v>7</v>
      </c>
      <c r="C4" s="3" t="str">
        <f>VLOOKUP(B4,[1]Sheet1!$C$2:$D$34,2,0)</f>
        <v>配液</v>
      </c>
      <c r="D4" s="3"/>
      <c r="E4" s="2"/>
    </row>
    <row r="5" spans="1:5">
      <c r="A5" s="3">
        <v>4</v>
      </c>
      <c r="B5" s="3" t="s">
        <v>8</v>
      </c>
      <c r="C5" s="3" t="str">
        <f>VLOOKUP(B5,[1]Sheet1!$C$2:$D$34,2,0)</f>
        <v>吹塑</v>
      </c>
      <c r="D5" s="3"/>
      <c r="E5" s="2"/>
    </row>
    <row r="6" spans="1:5">
      <c r="A6" s="3">
        <v>5</v>
      </c>
      <c r="B6" s="3" t="s">
        <v>9</v>
      </c>
      <c r="C6" s="3" t="str">
        <f>VLOOKUP(B6,[1]Sheet1!$C$2:$D$34,2,0)</f>
        <v>外包装箱</v>
      </c>
      <c r="D6" s="3"/>
      <c r="E6" s="2"/>
    </row>
    <row r="7" spans="1:5">
      <c r="A7" s="3">
        <v>6</v>
      </c>
      <c r="B7" s="3" t="s">
        <v>10</v>
      </c>
      <c r="C7" s="3" t="str">
        <f>VLOOKUP(B7,[1]Sheet1!$C$2:$D$34,2,0)</f>
        <v>吹塑</v>
      </c>
      <c r="D7" s="3"/>
      <c r="E7" s="2"/>
    </row>
    <row r="8" spans="1:5">
      <c r="A8" s="3">
        <v>7</v>
      </c>
      <c r="B8" s="3" t="s">
        <v>11</v>
      </c>
      <c r="C8" s="3" t="str">
        <f>VLOOKUP(B8,[1]Sheet1!$C$2:$D$34,2,0)</f>
        <v>灌装/检漏</v>
      </c>
      <c r="D8" s="3"/>
    </row>
    <row r="9" spans="1:5">
      <c r="A9" s="3">
        <v>8</v>
      </c>
      <c r="B9" s="3" t="s">
        <v>12</v>
      </c>
      <c r="C9" s="3" t="s">
        <v>13</v>
      </c>
      <c r="D9" s="3"/>
    </row>
    <row r="10" spans="1:5">
      <c r="A10" s="3">
        <v>9</v>
      </c>
      <c r="B10" s="3" t="s">
        <v>14</v>
      </c>
      <c r="C10" s="3" t="str">
        <f>VLOOKUP(B10,[1]Sheet1!$C$2:$D$34,2,0)</f>
        <v>外包</v>
      </c>
      <c r="D10" s="3"/>
    </row>
    <row r="11" spans="1:5">
      <c r="A11" s="3">
        <v>10</v>
      </c>
      <c r="B11" s="3" t="s">
        <v>15</v>
      </c>
      <c r="C11" s="3" t="e">
        <f>VLOOKUP(B11,[1]Sheet1!$C$2:$D$34,2,0)</f>
        <v>#N/A</v>
      </c>
      <c r="D11" s="3"/>
    </row>
    <row r="12" spans="1:5">
      <c r="A12" s="3">
        <v>11</v>
      </c>
      <c r="B12" s="3" t="s">
        <v>16</v>
      </c>
      <c r="C12" s="3" t="e">
        <f>VLOOKUP(B12,[1]Sheet1!$C$2:$D$34,2,0)</f>
        <v>#N/A</v>
      </c>
      <c r="D12" s="3"/>
    </row>
    <row r="13" spans="1:5">
      <c r="A13" s="3">
        <v>12</v>
      </c>
      <c r="B13" s="3" t="s">
        <v>17</v>
      </c>
      <c r="C13" s="3" t="str">
        <f>VLOOKUP(B13,[1]Sheet1!$C$2:$D$34,2,0)</f>
        <v>检漏</v>
      </c>
      <c r="D13" s="3"/>
    </row>
    <row r="14" spans="1:5">
      <c r="A14" s="3">
        <v>13</v>
      </c>
      <c r="B14" s="3" t="s">
        <v>18</v>
      </c>
      <c r="C14" s="3" t="str">
        <f>VLOOKUP(B14,[1]Sheet1!$C$2:$D$34,2,0)</f>
        <v>外包</v>
      </c>
      <c r="D14" s="3"/>
    </row>
    <row r="15" spans="1:5">
      <c r="A15" s="3">
        <v>14</v>
      </c>
      <c r="B15" s="3" t="s">
        <v>19</v>
      </c>
      <c r="C15" s="3" t="s">
        <v>13</v>
      </c>
      <c r="D15" s="3"/>
    </row>
    <row r="16" spans="1:5">
      <c r="A16" s="3">
        <v>15</v>
      </c>
      <c r="B16" s="3" t="s">
        <v>20</v>
      </c>
      <c r="C16" s="3" t="str">
        <f>VLOOKUP(B16,[1]Sheet1!$C$2:$D$34,2,0)</f>
        <v>配液</v>
      </c>
      <c r="D16" s="3"/>
    </row>
    <row r="17" spans="1:5">
      <c r="A17" s="3">
        <v>16</v>
      </c>
      <c r="B17" s="3" t="s">
        <v>21</v>
      </c>
      <c r="C17" s="3" t="str">
        <f>VLOOKUP(B17,[1]Sheet1!$C$2:$D$34,2,0)</f>
        <v>小料称量</v>
      </c>
      <c r="D17" s="3"/>
    </row>
    <row r="18" spans="1:5">
      <c r="A18" s="3">
        <v>17</v>
      </c>
      <c r="B18" s="3" t="s">
        <v>22</v>
      </c>
      <c r="C18" s="3" t="str">
        <f>VLOOKUP(B18,[1]Sheet1!$C$2:$D$34,2,0)</f>
        <v>封口</v>
      </c>
      <c r="D18" s="3"/>
    </row>
    <row r="19" spans="1:5">
      <c r="A19" s="3">
        <v>18</v>
      </c>
      <c r="B19" s="3" t="s">
        <v>23</v>
      </c>
      <c r="C19" s="3" t="str">
        <f>VLOOKUP(B19,[1]Sheet1!$C$2:$D$34,2,0)</f>
        <v>外包封口</v>
      </c>
      <c r="D19" s="3"/>
    </row>
    <row r="20" spans="1:5">
      <c r="A20" s="3">
        <v>19</v>
      </c>
      <c r="B20" s="3" t="s">
        <v>24</v>
      </c>
      <c r="C20" s="3" t="str">
        <f>VLOOKUP(B20,[1]Sheet1!$C$2:$D$34,2,0)</f>
        <v>吹塑</v>
      </c>
      <c r="D20" s="3"/>
    </row>
    <row r="21" spans="1:5">
      <c r="A21" s="3">
        <v>20</v>
      </c>
      <c r="B21" s="3" t="s">
        <v>25</v>
      </c>
      <c r="C21" s="3" t="str">
        <f>VLOOKUP(B21,[1]Sheet1!$C$2:$D$34,2,0)</f>
        <v>接料</v>
      </c>
      <c r="D21" s="3"/>
    </row>
    <row r="22" spans="1:5">
      <c r="A22" s="3">
        <v>21</v>
      </c>
      <c r="B22" s="3" t="s">
        <v>26</v>
      </c>
      <c r="C22" s="3" t="str">
        <f>VLOOKUP(B22,[1]Sheet1!$C$2:$D$34,2,0)</f>
        <v>检漏</v>
      </c>
      <c r="D22" s="3"/>
    </row>
    <row r="23" spans="1:5">
      <c r="A23" s="3">
        <v>22</v>
      </c>
      <c r="B23" s="3" t="s">
        <v>27</v>
      </c>
      <c r="C23" s="3" t="s">
        <v>28</v>
      </c>
      <c r="D23" s="3"/>
    </row>
    <row r="24" spans="1:5">
      <c r="A24" s="3">
        <v>23</v>
      </c>
      <c r="B24" s="3" t="s">
        <v>29</v>
      </c>
      <c r="C24" s="3" t="s">
        <v>28</v>
      </c>
      <c r="D24" s="3"/>
      <c r="E24" s="4"/>
    </row>
    <row r="25" spans="1:5">
      <c r="A25" s="3">
        <v>24</v>
      </c>
      <c r="B25" s="3" t="s">
        <v>30</v>
      </c>
      <c r="C25" s="3" t="s">
        <v>28</v>
      </c>
      <c r="D25" s="3" t="s">
        <v>31</v>
      </c>
    </row>
    <row r="26" spans="1:5">
      <c r="A26" s="3">
        <v>25</v>
      </c>
      <c r="B26" s="3" t="s">
        <v>32</v>
      </c>
      <c r="C26" s="3" t="s">
        <v>28</v>
      </c>
      <c r="D26" s="3" t="s">
        <v>31</v>
      </c>
    </row>
    <row r="27" spans="1:5">
      <c r="A27" s="3">
        <v>26</v>
      </c>
      <c r="B27" s="3" t="s">
        <v>33</v>
      </c>
      <c r="C27" s="3" t="s">
        <v>28</v>
      </c>
      <c r="D27" s="3" t="s">
        <v>31</v>
      </c>
    </row>
    <row r="28" spans="1:5">
      <c r="A28" s="3">
        <v>27</v>
      </c>
      <c r="B28" s="3" t="s">
        <v>34</v>
      </c>
      <c r="C28" s="3" t="str">
        <f>VLOOKUP(B28,[1]Sheet1!$C$2:$D$34,2,0)</f>
        <v>封口</v>
      </c>
      <c r="D28" s="3" t="s">
        <v>31</v>
      </c>
    </row>
    <row r="29" spans="1:5">
      <c r="A29" s="3">
        <v>28</v>
      </c>
      <c r="B29" s="3" t="s">
        <v>35</v>
      </c>
      <c r="C29" s="3" t="str">
        <f>VLOOKUP(B29,[1]Sheet1!$C$2:$D$34,2,0)</f>
        <v>外包装箱</v>
      </c>
      <c r="D29" s="3" t="s">
        <v>31</v>
      </c>
    </row>
    <row r="30" spans="1:5">
      <c r="A30" s="3">
        <v>29</v>
      </c>
      <c r="B30" s="3" t="s">
        <v>36</v>
      </c>
      <c r="C30" s="3" t="s">
        <v>28</v>
      </c>
      <c r="D30" s="3" t="s">
        <v>37</v>
      </c>
    </row>
    <row r="31" spans="1:5">
      <c r="A31" s="3"/>
      <c r="B31" s="3"/>
      <c r="C31" s="3"/>
      <c r="D31" s="3"/>
    </row>
    <row r="32" spans="1:5">
      <c r="A32" s="3">
        <v>30</v>
      </c>
      <c r="B32" s="3" t="s">
        <v>38</v>
      </c>
      <c r="C32" s="3" t="s">
        <v>39</v>
      </c>
      <c r="D32" s="3" t="s">
        <v>31</v>
      </c>
    </row>
    <row r="100" spans="3:16">
      <c r="C100" s="3" t="s">
        <v>40</v>
      </c>
      <c r="D100" s="8" t="s">
        <v>41</v>
      </c>
      <c r="E100" s="3" t="s">
        <v>42</v>
      </c>
      <c r="F100" s="3">
        <v>36</v>
      </c>
      <c r="G100" s="3">
        <v>15366518533</v>
      </c>
      <c r="H100" s="5">
        <v>45240</v>
      </c>
      <c r="I100" s="3"/>
      <c r="J100" s="3"/>
      <c r="K100" s="3" t="s">
        <v>43</v>
      </c>
      <c r="N100" s="3"/>
      <c r="O100" s="3" t="s">
        <v>44</v>
      </c>
      <c r="P100" t="s">
        <v>45</v>
      </c>
    </row>
    <row r="101" spans="3:16">
      <c r="C101" s="6" t="s">
        <v>46</v>
      </c>
      <c r="D101" s="9" t="s">
        <v>47</v>
      </c>
      <c r="E101" s="6" t="s">
        <v>48</v>
      </c>
      <c r="F101" s="6">
        <v>44</v>
      </c>
      <c r="G101" s="6">
        <v>15251068337</v>
      </c>
      <c r="H101" s="7">
        <v>45240</v>
      </c>
      <c r="I101" s="6"/>
      <c r="J101" s="6"/>
      <c r="K101" s="6" t="s">
        <v>49</v>
      </c>
      <c r="N101" s="6"/>
      <c r="O101" s="3" t="s">
        <v>44</v>
      </c>
    </row>
  </sheetData>
  <mergeCells count="1">
    <mergeCell ref="E1:E7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生产普工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tonyh</dc:creator>
  <cp:lastModifiedBy>黄子迅</cp:lastModifiedBy>
  <dcterms:created xsi:type="dcterms:W3CDTF">2026-04-13T18:03:19Z</dcterms:created>
  <dcterms:modified xsi:type="dcterms:W3CDTF">2026-04-13T18:03:19Z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170792A985004C098010EAF932653CCF_11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