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005"/>
  </bookViews>
  <sheets>
    <sheet name="花名册" sheetId="1" r:id="rId1"/>
  </sheets>
  <definedNames>
    <definedName name="_xlnm._FilterDatabase" localSheetId="0" hidden="1">花名册!$A$1:$S$103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<sst xmlns="http://schemas.openxmlformats.org/spreadsheetml/2006/main" count="897" uniqueCount="423">
  <si>
    <t>在职花名册</t>
  </si>
  <si>
    <t>序号</t>
  </si>
  <si>
    <t>公司编号</t>
  </si>
  <si>
    <t>姓名</t>
  </si>
  <si>
    <t>身份证号码</t>
  </si>
  <si>
    <t>出生日期</t>
  </si>
  <si>
    <t>性别</t>
  </si>
  <si>
    <t>年龄</t>
  </si>
  <si>
    <t>联系电话</t>
  </si>
  <si>
    <t>入职时间</t>
  </si>
  <si>
    <t>转正日期</t>
  </si>
  <si>
    <t>部门</t>
  </si>
  <si>
    <t>岗位</t>
  </si>
  <si>
    <t>工龄</t>
  </si>
  <si>
    <t>状态</t>
  </si>
  <si>
    <t>备注</t>
  </si>
  <si>
    <t>合同到期日</t>
  </si>
  <si>
    <t>身份证复印件</t>
  </si>
  <si>
    <t>保险所在公司</t>
  </si>
  <si>
    <t>银行卡</t>
  </si>
  <si>
    <t>RH-0001</t>
  </si>
  <si>
    <t>马达</t>
  </si>
  <si>
    <t>320925197112246754</t>
  </si>
  <si>
    <t>销售部</t>
  </si>
  <si>
    <t>销售经理</t>
  </si>
  <si>
    <t>在职</t>
  </si>
  <si>
    <t>无固定</t>
  </si>
  <si>
    <t>有</t>
  </si>
  <si>
    <t>同康祥泰</t>
  </si>
  <si>
    <t>RH-0002</t>
  </si>
  <si>
    <t>王胜</t>
  </si>
  <si>
    <t>32092519761012141X</t>
  </si>
  <si>
    <t>骐悦</t>
  </si>
  <si>
    <t>RH-0003</t>
  </si>
  <si>
    <t>吕辉</t>
  </si>
  <si>
    <t>320925198512276738</t>
  </si>
  <si>
    <t>骏翔</t>
  </si>
  <si>
    <t>RH-0004</t>
  </si>
  <si>
    <t>居相东</t>
  </si>
  <si>
    <t>320925198905132014</t>
  </si>
  <si>
    <t>润湖</t>
  </si>
  <si>
    <t>RH-0006</t>
  </si>
  <si>
    <t>卜素明</t>
  </si>
  <si>
    <t>320925196701126799</t>
  </si>
  <si>
    <t>行政部</t>
  </si>
  <si>
    <t>成品叉车</t>
  </si>
  <si>
    <t>泽越</t>
  </si>
  <si>
    <t>RH-0007</t>
  </si>
  <si>
    <t>陈玲玲</t>
  </si>
  <si>
    <t>320704198605222023</t>
  </si>
  <si>
    <t>综合部</t>
  </si>
  <si>
    <t>生产总负责</t>
  </si>
  <si>
    <t>仁越</t>
  </si>
  <si>
    <t>RH-0008</t>
  </si>
  <si>
    <t>杨兰</t>
  </si>
  <si>
    <t>320925198503021426</t>
  </si>
  <si>
    <t>采购部</t>
  </si>
  <si>
    <t>贸易采购</t>
  </si>
  <si>
    <t>RH-0009</t>
  </si>
  <si>
    <t>朱波</t>
  </si>
  <si>
    <t>320925199006083655</t>
  </si>
  <si>
    <t>设备部</t>
  </si>
  <si>
    <t>设备负责人</t>
  </si>
  <si>
    <t>RH-0010</t>
  </si>
  <si>
    <t>颜亚运</t>
  </si>
  <si>
    <t>320925199009213136</t>
  </si>
  <si>
    <t>销售</t>
  </si>
  <si>
    <t>RH-0011</t>
  </si>
  <si>
    <t>瞿莉</t>
  </si>
  <si>
    <t>320923199212295760</t>
  </si>
  <si>
    <t>生产部</t>
  </si>
  <si>
    <t>生产经理</t>
  </si>
  <si>
    <t>RH-0012</t>
  </si>
  <si>
    <t>高瑞</t>
  </si>
  <si>
    <t>320382198901027078</t>
  </si>
  <si>
    <t>RH-0013</t>
  </si>
  <si>
    <t>徐娟</t>
  </si>
  <si>
    <t>320925199009065161</t>
  </si>
  <si>
    <t>财务部</t>
  </si>
  <si>
    <t>财务经理</t>
  </si>
  <si>
    <t>无身份证</t>
  </si>
  <si>
    <t>RH-0014</t>
  </si>
  <si>
    <t>卢宁</t>
  </si>
  <si>
    <t>320925199602053129</t>
  </si>
  <si>
    <t>财务专员</t>
  </si>
  <si>
    <t>RH-0016</t>
  </si>
  <si>
    <t>祝青</t>
  </si>
  <si>
    <t>320925199409142023</t>
  </si>
  <si>
    <t>生产采购</t>
  </si>
  <si>
    <t>RH-0017</t>
  </si>
  <si>
    <t>苏芹</t>
  </si>
  <si>
    <t>320925197102082047</t>
  </si>
  <si>
    <t>工人</t>
  </si>
  <si>
    <t>无合同</t>
  </si>
  <si>
    <t>RH-0018</t>
  </si>
  <si>
    <t>郑青</t>
  </si>
  <si>
    <t>320925199411180627</t>
  </si>
  <si>
    <t>RH-0019</t>
  </si>
  <si>
    <t>李乃杰</t>
  </si>
  <si>
    <t>320925199706270611</t>
  </si>
  <si>
    <t>18112055658</t>
  </si>
  <si>
    <t>/</t>
  </si>
  <si>
    <t>RH-0020</t>
  </si>
  <si>
    <t>纪军杰</t>
  </si>
  <si>
    <t>320925199210163679</t>
  </si>
  <si>
    <t>RH-0021</t>
  </si>
  <si>
    <t>潘彩云</t>
  </si>
  <si>
    <t>320802198201252085</t>
  </si>
  <si>
    <t>市场部</t>
  </si>
  <si>
    <t>文员</t>
  </si>
  <si>
    <t>RH-0022</t>
  </si>
  <si>
    <t>孟智</t>
  </si>
  <si>
    <t>320925198110170615</t>
  </si>
  <si>
    <t>RH-0023</t>
  </si>
  <si>
    <t>卢经纬</t>
  </si>
  <si>
    <t>320925199110140074</t>
  </si>
  <si>
    <t>RH-0024</t>
  </si>
  <si>
    <t>陆会苹</t>
  </si>
  <si>
    <t>32092519720120672X</t>
  </si>
  <si>
    <t>无履历表、身份证</t>
  </si>
  <si>
    <t>RH-0025</t>
  </si>
  <si>
    <t>沈宗顺</t>
  </si>
  <si>
    <t>320925196610213117</t>
  </si>
  <si>
    <t>RH-0026</t>
  </si>
  <si>
    <t>单和巧</t>
  </si>
  <si>
    <t>320925198904163628</t>
  </si>
  <si>
    <t>RH-0027</t>
  </si>
  <si>
    <t>谢凤霞</t>
  </si>
  <si>
    <t>340823198503107540</t>
  </si>
  <si>
    <t>质量部</t>
  </si>
  <si>
    <t>质量部经理</t>
  </si>
  <si>
    <t>RH-0029</t>
  </si>
  <si>
    <t>丁荣国</t>
  </si>
  <si>
    <t>320925197010070057</t>
  </si>
  <si>
    <t>RH-0030</t>
  </si>
  <si>
    <t>吴家丽</t>
  </si>
  <si>
    <t>320925199009033629</t>
  </si>
  <si>
    <t>仓储部</t>
  </si>
  <si>
    <t>贸易库管</t>
  </si>
  <si>
    <t>RH-0033</t>
  </si>
  <si>
    <t>吉芳</t>
  </si>
  <si>
    <t>320925198909101506</t>
  </si>
  <si>
    <t>RH-0034</t>
  </si>
  <si>
    <t>庄会彩</t>
  </si>
  <si>
    <t>320721198911115046</t>
  </si>
  <si>
    <t>办公室</t>
  </si>
  <si>
    <t>RH-0035</t>
  </si>
  <si>
    <t>刘倩</t>
  </si>
  <si>
    <t>320925199601202022</t>
  </si>
  <si>
    <t>RH-0036</t>
  </si>
  <si>
    <t>肖桂祥</t>
  </si>
  <si>
    <t>320925198706175855</t>
  </si>
  <si>
    <t>机修工</t>
  </si>
  <si>
    <t>RH-0037</t>
  </si>
  <si>
    <t>朱勇</t>
  </si>
  <si>
    <t>320925196803220014</t>
  </si>
  <si>
    <t>下力工</t>
  </si>
  <si>
    <t>RH-0040</t>
  </si>
  <si>
    <t>王玉玲</t>
  </si>
  <si>
    <t>320925199009306447</t>
  </si>
  <si>
    <t>QC</t>
  </si>
  <si>
    <t>RH-0041</t>
  </si>
  <si>
    <t>杨娟</t>
  </si>
  <si>
    <t>320925198506232026</t>
  </si>
  <si>
    <t>RH-0043</t>
  </si>
  <si>
    <t>吴志华</t>
  </si>
  <si>
    <t>320925197106206131</t>
  </si>
  <si>
    <t>15121126579</t>
  </si>
  <si>
    <t>RH-0045</t>
  </si>
  <si>
    <t>臧玲</t>
  </si>
  <si>
    <t>320925199205157426</t>
  </si>
  <si>
    <t>13182154384</t>
  </si>
  <si>
    <t>RH-0046</t>
  </si>
  <si>
    <t>桑以鹏</t>
  </si>
  <si>
    <t>320925198901263615</t>
  </si>
  <si>
    <t>18201820270</t>
  </si>
  <si>
    <t>RH-0047</t>
  </si>
  <si>
    <t>许伟巍</t>
  </si>
  <si>
    <t>320925198110160118</t>
  </si>
  <si>
    <t>RH-0049</t>
  </si>
  <si>
    <t>成中海</t>
  </si>
  <si>
    <t>320925197604084237</t>
  </si>
  <si>
    <t>13815588101</t>
  </si>
  <si>
    <t>RH-0051</t>
  </si>
  <si>
    <t>杨海英</t>
  </si>
  <si>
    <t>320925197008272020</t>
  </si>
  <si>
    <t>RH-0052</t>
  </si>
  <si>
    <t>单爱梅</t>
  </si>
  <si>
    <t>320925198310073123</t>
  </si>
  <si>
    <t>15380563056</t>
  </si>
  <si>
    <t>RH-0053</t>
  </si>
  <si>
    <t>顾艳</t>
  </si>
  <si>
    <t>320925198907205440</t>
  </si>
  <si>
    <t>13851146037</t>
  </si>
  <si>
    <t>物流部</t>
  </si>
  <si>
    <t>物流专员</t>
  </si>
  <si>
    <t>RH-0054</t>
  </si>
  <si>
    <t>谢玉娟</t>
  </si>
  <si>
    <t>320925198302081422</t>
  </si>
  <si>
    <t>13651592203</t>
  </si>
  <si>
    <t>RH-0055</t>
  </si>
  <si>
    <t>祁斯秀</t>
  </si>
  <si>
    <t>320911198102242828</t>
  </si>
  <si>
    <t>RH-0056</t>
  </si>
  <si>
    <t>梁硕</t>
  </si>
  <si>
    <t>320311198211115219</t>
  </si>
  <si>
    <t>RH-0061</t>
  </si>
  <si>
    <t>陆立兄</t>
  </si>
  <si>
    <t>320925198711084528</t>
  </si>
  <si>
    <t>18961906137</t>
  </si>
  <si>
    <t>有合同</t>
  </si>
  <si>
    <t>RH-0063</t>
  </si>
  <si>
    <t>孙翠娥</t>
  </si>
  <si>
    <t>320925198605246124</t>
  </si>
  <si>
    <t>RH-0068</t>
  </si>
  <si>
    <t>徐猛</t>
  </si>
  <si>
    <t>320925199308102516</t>
  </si>
  <si>
    <t>13725722141</t>
  </si>
  <si>
    <t>技术部</t>
  </si>
  <si>
    <t>技术专员</t>
  </si>
  <si>
    <t>RH-0073</t>
  </si>
  <si>
    <t>金晓玲</t>
  </si>
  <si>
    <t>320925199106082027</t>
  </si>
  <si>
    <t>RH-0082</t>
  </si>
  <si>
    <t>林胜群</t>
  </si>
  <si>
    <t>432326197404299322</t>
  </si>
  <si>
    <t>女</t>
  </si>
  <si>
    <t>RH-0084</t>
  </si>
  <si>
    <t>杨守兰</t>
  </si>
  <si>
    <t>320925197502272202</t>
  </si>
  <si>
    <t>RH-0086</t>
  </si>
  <si>
    <t>徐建高</t>
  </si>
  <si>
    <t>320925197212036439</t>
  </si>
  <si>
    <t>男</t>
  </si>
  <si>
    <t>意外险</t>
  </si>
  <si>
    <t>RH-0087</t>
  </si>
  <si>
    <t>刘启飞</t>
  </si>
  <si>
    <t>32092519911001457X</t>
  </si>
  <si>
    <t>劳务合同</t>
  </si>
  <si>
    <t>无</t>
  </si>
  <si>
    <t>RH-0092</t>
  </si>
  <si>
    <t>程清秀</t>
  </si>
  <si>
    <t>320925198904276745</t>
  </si>
  <si>
    <t>妈妈班</t>
  </si>
  <si>
    <t>RH-0094</t>
  </si>
  <si>
    <t>许君君</t>
  </si>
  <si>
    <t>320925199112026726</t>
  </si>
  <si>
    <t>人事</t>
  </si>
  <si>
    <t>RH-0102</t>
  </si>
  <si>
    <t>周宗香</t>
  </si>
  <si>
    <t>320925199510211425</t>
  </si>
  <si>
    <t>RH-0105</t>
  </si>
  <si>
    <t>魏丽</t>
  </si>
  <si>
    <t>320324197604141626</t>
  </si>
  <si>
    <t>巡检</t>
  </si>
  <si>
    <t>劳动合同</t>
  </si>
  <si>
    <t>RH-0108</t>
  </si>
  <si>
    <t>曹慧兰</t>
  </si>
  <si>
    <t>320925198901096423</t>
  </si>
  <si>
    <t>RH-0110</t>
  </si>
  <si>
    <t>周德先</t>
  </si>
  <si>
    <t>320925198109226415</t>
  </si>
  <si>
    <t>销售维护</t>
  </si>
  <si>
    <t>RH-0121</t>
  </si>
  <si>
    <t>陈静</t>
  </si>
  <si>
    <t>320925198702156745</t>
  </si>
  <si>
    <t>销售内勤</t>
  </si>
  <si>
    <t>RH-0124</t>
  </si>
  <si>
    <t>李晶晶</t>
  </si>
  <si>
    <t>320925198704255122</t>
  </si>
  <si>
    <t>18352088523</t>
  </si>
  <si>
    <t>RH-0125</t>
  </si>
  <si>
    <t>谷明玥</t>
  </si>
  <si>
    <t>320902199612168523</t>
  </si>
  <si>
    <t>标书专员</t>
  </si>
  <si>
    <t>RH-0126</t>
  </si>
  <si>
    <t>陈寿保</t>
  </si>
  <si>
    <t>320925196311096117</t>
  </si>
  <si>
    <t>门卫</t>
  </si>
  <si>
    <t>RH-0127</t>
  </si>
  <si>
    <t>陶其銮</t>
  </si>
  <si>
    <t>320925196311296127</t>
  </si>
  <si>
    <t>RH-0129</t>
  </si>
  <si>
    <t>朱亭亭</t>
  </si>
  <si>
    <t>320923198912245129</t>
  </si>
  <si>
    <t>粉线</t>
  </si>
  <si>
    <t>RH-0134</t>
  </si>
  <si>
    <t>周德才</t>
  </si>
  <si>
    <t>320925197610176410</t>
  </si>
  <si>
    <t>领料</t>
  </si>
  <si>
    <t>RH-0136</t>
  </si>
  <si>
    <t>马浩</t>
  </si>
  <si>
    <t>320925198010030033</t>
  </si>
  <si>
    <t>生产管理</t>
  </si>
  <si>
    <t>RH-0137</t>
  </si>
  <si>
    <t>薛松</t>
  </si>
  <si>
    <t>320925199607070016</t>
  </si>
  <si>
    <t>RH-0138</t>
  </si>
  <si>
    <t>金国玉</t>
  </si>
  <si>
    <t>320925199209272077</t>
  </si>
  <si>
    <t>仓管</t>
  </si>
  <si>
    <t>RH-0139</t>
  </si>
  <si>
    <t>柳祝琼</t>
  </si>
  <si>
    <t>422828199003093929</t>
  </si>
  <si>
    <t>远博</t>
  </si>
  <si>
    <t>RH-0143</t>
  </si>
  <si>
    <t>俞建</t>
  </si>
  <si>
    <t>320925199205210055</t>
  </si>
  <si>
    <t>维修工</t>
  </si>
  <si>
    <t>RH-0145</t>
  </si>
  <si>
    <t>徐为兵</t>
  </si>
  <si>
    <t>320923199011246030</t>
  </si>
  <si>
    <t>叉车工</t>
  </si>
  <si>
    <t>RH-0146</t>
  </si>
  <si>
    <t>梁旭</t>
  </si>
  <si>
    <t>320925199111092027</t>
  </si>
  <si>
    <t>RH-0149</t>
  </si>
  <si>
    <t>丁正秀</t>
  </si>
  <si>
    <t>320925197309152081</t>
  </si>
  <si>
    <t>食堂阿姨</t>
  </si>
  <si>
    <t>RH-0160</t>
  </si>
  <si>
    <t>吴昌亮</t>
  </si>
  <si>
    <t>320925199006195139</t>
  </si>
  <si>
    <t>司机</t>
  </si>
  <si>
    <t>RH-0168</t>
  </si>
  <si>
    <t>姜广芹</t>
  </si>
  <si>
    <t>320925198911051448</t>
  </si>
  <si>
    <t>RH-0173</t>
  </si>
  <si>
    <t>韩李信</t>
  </si>
  <si>
    <t>341225198504071536</t>
  </si>
  <si>
    <t>吹塑工程师</t>
  </si>
  <si>
    <t>RH-0178</t>
  </si>
  <si>
    <t>孙金鑫</t>
  </si>
  <si>
    <t>320925199010193654</t>
  </si>
  <si>
    <t>设备维修工</t>
  </si>
  <si>
    <t>0年1个月</t>
  </si>
  <si>
    <t>RH-0181</t>
  </si>
  <si>
    <t>周长军</t>
  </si>
  <si>
    <t>320925198304191430</t>
  </si>
  <si>
    <t>RH-0182</t>
  </si>
  <si>
    <t>杨海其</t>
  </si>
  <si>
    <t>320925196612233138</t>
  </si>
  <si>
    <t>RH-0184</t>
  </si>
  <si>
    <t>梁辉雄</t>
  </si>
  <si>
    <t>450703198712172722</t>
  </si>
  <si>
    <t>RH-0186</t>
  </si>
  <si>
    <t>郭红霞</t>
  </si>
  <si>
    <t>320925197602096728</t>
  </si>
  <si>
    <t>RH-0188</t>
  </si>
  <si>
    <t>李云</t>
  </si>
  <si>
    <t>320882198408283622</t>
  </si>
  <si>
    <t>RH-0190</t>
  </si>
  <si>
    <t>许国琴</t>
  </si>
  <si>
    <t>320925197602182028</t>
  </si>
  <si>
    <t>RH-0196</t>
  </si>
  <si>
    <t>孙起栋</t>
  </si>
  <si>
    <t>320925199112025117</t>
  </si>
  <si>
    <t>设备</t>
  </si>
  <si>
    <t>RH-0198</t>
  </si>
  <si>
    <t>黄正富</t>
  </si>
  <si>
    <t>320925196808205817</t>
  </si>
  <si>
    <t>领料工</t>
  </si>
  <si>
    <t>RH-0200</t>
  </si>
  <si>
    <t>李义岭</t>
  </si>
  <si>
    <t>320923197910155491</t>
  </si>
  <si>
    <t>RH-0202</t>
  </si>
  <si>
    <t>韩荣亮</t>
  </si>
  <si>
    <t>320925199008301433</t>
  </si>
  <si>
    <t>RH-0204</t>
  </si>
  <si>
    <t>卞正帅</t>
  </si>
  <si>
    <t>320925200512292519</t>
  </si>
  <si>
    <t>RH-0206</t>
  </si>
  <si>
    <t>王浩权</t>
  </si>
  <si>
    <t>320925200510136715</t>
  </si>
  <si>
    <t>RH-0212</t>
  </si>
  <si>
    <t>于瑞强</t>
  </si>
  <si>
    <t>320925198907243113</t>
  </si>
  <si>
    <t>RH-0213</t>
  </si>
  <si>
    <t>孙妍茜</t>
  </si>
  <si>
    <t>320925200508225823</t>
  </si>
  <si>
    <t>质量</t>
  </si>
  <si>
    <t>RH-0189</t>
  </si>
  <si>
    <t>韩佳霞</t>
  </si>
  <si>
    <t>310110198307083769</t>
  </si>
  <si>
    <t>RH-0214</t>
  </si>
  <si>
    <t>肖云飞</t>
  </si>
  <si>
    <t>320925199008020615</t>
  </si>
  <si>
    <t>RH-0216</t>
  </si>
  <si>
    <t>赵德勇</t>
  </si>
  <si>
    <t>320925197203181431</t>
  </si>
  <si>
    <t>RH-0219</t>
  </si>
  <si>
    <t>王娟</t>
  </si>
  <si>
    <t>320925198710023926</t>
  </si>
  <si>
    <t>会计</t>
  </si>
  <si>
    <t>RH-0220</t>
  </si>
  <si>
    <t>周红根</t>
  </si>
  <si>
    <t>320925197212227219</t>
  </si>
  <si>
    <t>RH-0221</t>
  </si>
  <si>
    <t>林少慧</t>
  </si>
  <si>
    <t>320925198909187025</t>
  </si>
  <si>
    <t>RH-0223</t>
  </si>
  <si>
    <t>刘广林</t>
  </si>
  <si>
    <t>320925197210292519</t>
  </si>
  <si>
    <t>RH-0224</t>
  </si>
  <si>
    <t>顾成娣</t>
  </si>
  <si>
    <t>320925198212202040</t>
  </si>
  <si>
    <t>RH-0225</t>
  </si>
  <si>
    <t>杨畅</t>
  </si>
  <si>
    <t>320722199008311228</t>
  </si>
  <si>
    <t>检验</t>
  </si>
  <si>
    <t>RH-0226</t>
  </si>
  <si>
    <t>程海贞</t>
  </si>
  <si>
    <t>320925199606166120</t>
  </si>
  <si>
    <t>RH-0227</t>
  </si>
  <si>
    <t>殷春燕</t>
  </si>
  <si>
    <t>32092519770523672x</t>
  </si>
  <si>
    <t>RH-0228</t>
  </si>
  <si>
    <t>周玲玲</t>
  </si>
  <si>
    <t>320925199310076425</t>
  </si>
  <si>
    <t>内勤</t>
  </si>
  <si>
    <t>RH-0229</t>
  </si>
  <si>
    <t>周权</t>
  </si>
  <si>
    <t>320925199212222038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</si>
</sst>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/m/d;@"/>
    <numFmt numFmtId="179" formatCode="0000\-00\-00"/>
  </numFmts>
  <fonts count="26">
    <font>
      <sz val="12"/>
      <name val="宋体"/>
      <charset val="134"/>
    </font>
    <font>
      <b/>
      <sz val="12"/>
      <name val="宋体"/>
      <charset val="134"/>
    </font>
    <font>
      <sz val="12"/>
      <color theme="8"/>
      <name val="宋体"/>
      <charset val="134"/>
    </font>
    <font>
      <sz val="12"/>
      <color theme="1"/>
      <name val="宋体"/>
      <charset val="134"/>
    </font>
    <font>
      <sz val="12"/>
      <color rgb="FFFF0000"/>
      <name val="宋体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20" applyNumberFormat="0" applyAlignment="0" applyProtection="0">
      <alignment vertical="center"/>
    </xf>
    <xf numFmtId="0" fontId="16" fillId="5" borderId="21" applyNumberFormat="0" applyAlignment="0" applyProtection="0">
      <alignment vertical="center"/>
    </xf>
    <xf numFmtId="0" fontId="17" fillId="5" borderId="20" applyNumberFormat="0" applyAlignment="0" applyProtection="0">
      <alignment vertical="center"/>
    </xf>
    <xf numFmtId="0" fontId="18" fillId="6" borderId="22" applyNumberFormat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67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Border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178" fontId="0" fillId="0" borderId="0" xfId="0" applyNumberFormat="1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79" fontId="0" fillId="0" borderId="1" xfId="0" applyNumberFormat="1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178" fontId="0" fillId="0" borderId="1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58" fontId="0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58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79" fontId="0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178" fontId="0" fillId="0" borderId="1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9" fontId="0" fillId="0" borderId="3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58" fontId="0" fillId="0" borderId="1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179" fontId="0" fillId="0" borderId="1" xfId="0" applyNumberFormat="1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58" fontId="0" fillId="0" borderId="3" xfId="0" applyNumberFormat="1" applyFont="1" applyBorder="1" applyAlignment="1">
      <alignment horizontal="center" vertical="center"/>
    </xf>
    <xf numFmtId="0" fontId="0" fillId="0" borderId="3" xfId="0" applyFont="1" applyBorder="1">
      <alignment vertical="center"/>
    </xf>
    <xf numFmtId="58" fontId="0" fillId="0" borderId="1" xfId="0" applyNumberForma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6" xfId="0" applyBorder="1">
      <alignment vertical="center"/>
    </xf>
    <xf numFmtId="58" fontId="0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0" fillId="0" borderId="2" xfId="0" applyFont="1" applyBorder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58" fontId="3" fillId="0" borderId="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58" fontId="3" fillId="0" borderId="5" xfId="0" applyNumberFormat="1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58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center" vertical="center"/>
    </xf>
    <xf numFmtId="58" fontId="0" fillId="0" borderId="3" xfId="0" applyNumberFormat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58" fontId="0" fillId="0" borderId="5" xfId="0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58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NumberFormat="1" applyFont="1" applyBorder="1" applyAlignment="1">
      <alignment horizontal="center" vertical="center"/>
    </xf>
    <xf numFmtId="178" fontId="3" fillId="0" borderId="11" xfId="0" applyNumberFormat="1" applyFont="1" applyBorder="1" applyAlignment="1">
      <alignment horizontal="center" vertical="center"/>
    </xf>
    <xf numFmtId="0" fontId="3" fillId="0" borderId="10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1" xfId="0" applyFill="1" applyBorder="1" applyAlignment="1">
      <alignment horizontal="center" vertical="center"/>
    </xf>
    <xf numFmtId="58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58" fontId="0" fillId="0" borderId="1" xfId="0" applyNumberForma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2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6" xfId="0" applyFill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58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58" fontId="0" fillId="0" borderId="1" xfId="0" applyNumberForma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6" xfId="0" applyFill="1" applyBorder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58" fontId="0" fillId="0" borderId="3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14" xfId="0" applyBorder="1">
      <alignment vertical="center"/>
    </xf>
    <xf numFmtId="58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58" fontId="0" fillId="0" borderId="10" xfId="0" applyNumberFormat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3" xfId="0" applyFont="1" applyBorder="1" applyAlignment="1">
      <alignment horizontal="center" vertical="center"/>
    </xf>
    <xf numFmtId="58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>
      <alignment vertical="center"/>
    </xf>
    <xf numFmtId="58" fontId="0" fillId="0" borderId="0" xfId="0" applyNumberFormat="1" applyAlignment="1">
      <alignment horizontal="center" vertical="center"/>
    </xf>
    <xf numFmtId="0" fontId="0" fillId="0" borderId="3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8" xfId="0" applyBorder="1">
      <alignment vertical="center"/>
    </xf>
    <xf numFmtId="0" fontId="0" fillId="0" borderId="0" xfId="0" applyBorder="1">
      <alignment vertical="center"/>
    </xf>
    <xf numFmtId="58" fontId="0" fillId="0" borderId="1" xfId="0" applyNumberFormat="1" applyBorder="1">
      <alignment vertical="center"/>
    </xf>
    <xf numFmtId="0" fontId="0" fillId="0" borderId="0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1" xfId="0" applyFont="1" applyBorder="1" applyAlignment="1" quotePrefix="1">
      <alignment horizontal="center" vertical="center"/>
    </xf>
    <xf numFmtId="0" fontId="3" fillId="0" borderId="1" xfId="0" applyFont="1" applyBorder="1" applyAlignment="1" quotePrefix="1">
      <alignment horizontal="center" vertical="center"/>
    </xf>
    <xf numFmtId="0" fontId="0" fillId="0" borderId="1" xfId="0" applyFont="1" applyBorder="1" applyAlignment="1" quotePrefix="1">
      <alignment horizontal="center" vertical="center"/>
    </xf>
    <xf numFmtId="0" fontId="0" fillId="0" borderId="1" xfId="0" applyFont="1" applyBorder="1" applyAlignment="1" quotePrefix="1">
      <alignment horizontal="center" vertical="center"/>
    </xf>
    <xf numFmtId="0" fontId="0" fillId="0" borderId="3" xfId="0" applyFont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0" fillId="0" borderId="2" xfId="0" applyFont="1" applyBorder="1" applyAlignment="1" quotePrefix="1">
      <alignment horizontal="center" vertical="center"/>
    </xf>
    <xf numFmtId="0" fontId="3" fillId="0" borderId="0" xfId="0" applyFont="1" applyAlignment="1" quotePrefix="1">
      <alignment horizontal="center" vertical="center"/>
    </xf>
    <xf numFmtId="0" fontId="3" fillId="0" borderId="3" xfId="0" applyFont="1" applyBorder="1" applyAlignment="1" quotePrefix="1">
      <alignment horizontal="center" vertical="center"/>
    </xf>
    <xf numFmtId="0" fontId="0" fillId="0" borderId="3" xfId="0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0" fillId="0" borderId="5" xfId="0" applyFont="1" applyFill="1" applyBorder="1" applyAlignment="1" quotePrefix="1">
      <alignment horizontal="center" vertical="center"/>
    </xf>
    <xf numFmtId="0" fontId="3" fillId="0" borderId="11" xfId="0" applyFont="1" applyBorder="1" applyAlignment="1" quotePrefix="1">
      <alignment horizontal="center" vertical="center"/>
    </xf>
    <xf numFmtId="0" fontId="0" fillId="0" borderId="1" xfId="0" applyFill="1" applyBorder="1" applyAlignment="1" quotePrefix="1">
      <alignment horizontal="center" vertical="center"/>
    </xf>
    <xf numFmtId="0" fontId="0" fillId="0" borderId="1" xfId="0" applyFill="1" applyBorder="1" applyAlignment="1" quotePrefix="1">
      <alignment horizontal="center" vertical="center"/>
    </xf>
    <xf numFmtId="0" fontId="3" fillId="0" borderId="1" xfId="0" applyFont="1" applyFill="1" applyBorder="1" applyAlignment="1" quotePrefix="1">
      <alignment horizontal="center" vertical="center"/>
    </xf>
    <xf numFmtId="0" fontId="0" fillId="0" borderId="1" xfId="0" applyFont="1" applyFill="1" applyBorder="1" applyAlignment="1" quotePrefix="1">
      <alignment horizontal="center" vertical="center"/>
    </xf>
    <xf numFmtId="0" fontId="0" fillId="0" borderId="3" xfId="0" applyBorder="1" applyAlignment="1" quotePrefix="1">
      <alignment horizontal="center" vertical="center"/>
    </xf>
    <xf numFmtId="0" fontId="0" fillId="0" borderId="3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U225"/>
  <sheetViews>
    <sheetView tabSelected="1" zoomScale="85" zoomScaleNormal="85" workbookViewId="0">
      <pane xSplit="3" ySplit="2" topLeftCell="D75" activePane="bottomRight" state="frozen"/>
      <selection/>
      <selection pane="topRight"/>
      <selection pane="bottomLeft"/>
      <selection pane="bottomRight" activeCell="S104" sqref="S104:S107"/>
    </sheetView>
  </sheetViews>
  <sheetFormatPr defaultColWidth="9" defaultRowHeight="15" customHeight="1"/>
  <cols>
    <col min="1" max="1" width="5.625" style="6" customWidth="1"/>
    <col min="2" max="2" width="9.875" style="6" customWidth="1"/>
    <col min="3" max="3" width="7.375" style="6" customWidth="1"/>
    <col min="4" max="4" width="22.625" style="6" customWidth="1"/>
    <col min="5" max="5" width="13.0916666666667" style="6" customWidth="1"/>
    <col min="6" max="6" width="7.04166666666667" style="6" customWidth="1"/>
    <col min="7" max="7" width="7.15" style="6" customWidth="1"/>
    <col min="8" max="8" width="13.375" style="14" customWidth="1"/>
    <col min="9" max="9" width="12" style="15" customWidth="1"/>
    <col min="10" max="10" width="9.875" style="15" customWidth="1"/>
    <col min="11" max="11" width="7.375" style="6" customWidth="1"/>
    <col min="12" max="12" width="13.625" style="6" customWidth="1"/>
    <col min="13" max="13" width="11.5" style="6" customWidth="1"/>
    <col min="14" max="14" width="7.125" style="6" customWidth="1"/>
    <col min="15" max="15" width="26.7583333333333" style="6" customWidth="1"/>
    <col min="16" max="16" width="11.625" style="16" customWidth="1"/>
    <col min="17" max="17" width="18.25" style="16" customWidth="1"/>
    <col min="18" max="18" width="13.75" style="16" customWidth="1"/>
    <col min="19" max="19" width="7.875" style="16" customWidth="1"/>
    <col min="20" max="16384" width="9" style="6"/>
  </cols>
  <sheetData>
    <row r="1" s="1" customFormat="1" ht="31" customHeight="1" spans="1:255">
      <c r="A1" s="17" t="s">
        <v>0</v>
      </c>
      <c r="B1" s="17"/>
      <c r="C1" s="18"/>
      <c r="D1" s="18"/>
      <c r="E1" s="18"/>
      <c r="F1" s="18"/>
      <c r="G1" s="18"/>
      <c r="H1" s="19"/>
      <c r="I1" s="18"/>
      <c r="J1" s="20"/>
      <c r="K1" s="18"/>
      <c r="L1" s="18"/>
      <c r="M1" s="18"/>
      <c r="N1" s="18"/>
      <c r="O1" s="21"/>
      <c r="P1" s="16"/>
      <c r="Q1" s="16"/>
      <c r="R1" s="16"/>
      <c r="S1" s="1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</row>
    <row r="2" s="2" customFormat="1" customHeight="1" spans="1:255">
      <c r="A2" s="18" t="s">
        <v>1</v>
      </c>
      <c r="B2" s="18" t="s">
        <v>2</v>
      </c>
      <c r="C2" s="18" t="s">
        <v>3</v>
      </c>
      <c r="D2" s="18" t="s">
        <v>4</v>
      </c>
      <c r="E2" s="18" t="s">
        <v>5</v>
      </c>
      <c r="F2" s="18" t="s">
        <v>6</v>
      </c>
      <c r="G2" s="18" t="s">
        <v>7</v>
      </c>
      <c r="H2" s="19" t="s">
        <v>8</v>
      </c>
      <c r="I2" s="20" t="s">
        <v>9</v>
      </c>
      <c r="J2" s="20" t="s">
        <v>10</v>
      </c>
      <c r="K2" s="18" t="s">
        <v>11</v>
      </c>
      <c r="L2" s="18" t="s">
        <v>12</v>
      </c>
      <c r="M2" s="18" t="s">
        <v>13</v>
      </c>
      <c r="N2" s="18" t="s">
        <v>14</v>
      </c>
      <c r="O2" s="21" t="s">
        <v>15</v>
      </c>
      <c r="P2" s="18" t="s">
        <v>16</v>
      </c>
      <c r="Q2" s="18" t="s">
        <v>17</v>
      </c>
      <c r="R2" s="18" t="s">
        <v>18</v>
      </c>
      <c r="S2" s="18" t="s">
        <v>19</v>
      </c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</row>
    <row r="3" s="3" customFormat="1" customHeight="1" spans="1:255">
      <c r="A3" s="22">
        <v>1</v>
      </c>
      <c r="B3" s="23" t="s">
        <v>20</v>
      </c>
      <c r="C3" s="23" t="s">
        <v>21</v>
      </c>
      <c r="D3" s="167" t="s">
        <v>22</v>
      </c>
      <c r="E3" s="24">
        <v>19711224</v>
      </c>
      <c r="F3" s="23" t="str">
        <f t="shared" ref="F3:F51" si="0">IF(MOD(MID(D3,17,1),2),"男","女")</f>
        <v>男</v>
      </c>
      <c r="G3" s="22">
        <f ca="1" t="shared" ref="G3:G54" si="1">YEAR(NOW())-MID(D3,7,4)</f>
        <v>55</v>
      </c>
      <c r="H3" s="25">
        <v>13651590963</v>
      </c>
      <c r="I3" s="26">
        <v>38991</v>
      </c>
      <c r="J3" s="26"/>
      <c r="K3" s="23" t="s">
        <v>23</v>
      </c>
      <c r="L3" s="23" t="s">
        <v>24</v>
      </c>
      <c r="M3" s="23" t="str">
        <f ca="1" t="shared" ref="M3:M66" si="2">DATEDIF(I3,TODAY(),"Y")&amp;"年"&amp;DATEDIF(I3,TODAY(),"YM")&amp;"个月"</f>
        <v>19年6个月</v>
      </c>
      <c r="N3" s="23" t="s">
        <v>25</v>
      </c>
      <c r="O3" s="27"/>
      <c r="P3" s="23" t="s">
        <v>26</v>
      </c>
      <c r="Q3" s="28" t="s">
        <v>27</v>
      </c>
      <c r="R3" s="29" t="s">
        <v>28</v>
      </c>
      <c r="S3" s="29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  <c r="HZ3" s="30"/>
      <c r="IA3" s="30"/>
      <c r="IB3" s="30"/>
      <c r="IC3" s="30"/>
      <c r="ID3" s="30"/>
      <c r="IE3" s="30"/>
      <c r="IF3" s="30"/>
      <c r="IG3" s="30"/>
      <c r="IH3" s="30"/>
      <c r="II3" s="30"/>
      <c r="IJ3" s="30"/>
      <c r="IK3" s="30"/>
      <c r="IL3" s="30"/>
      <c r="IM3" s="30"/>
      <c r="IN3" s="30"/>
      <c r="IO3" s="30"/>
      <c r="IP3" s="30"/>
      <c r="IQ3" s="30"/>
      <c r="IR3" s="30"/>
      <c r="IS3" s="30"/>
      <c r="IT3" s="30"/>
      <c r="IU3" s="30"/>
    </row>
    <row r="4" s="3" customFormat="1" customHeight="1" spans="1:255">
      <c r="A4" s="22">
        <v>2</v>
      </c>
      <c r="B4" s="23" t="s">
        <v>29</v>
      </c>
      <c r="C4" s="23" t="s">
        <v>30</v>
      </c>
      <c r="D4" s="23" t="s">
        <v>31</v>
      </c>
      <c r="E4" s="24">
        <v>19761012</v>
      </c>
      <c r="F4" s="23" t="str">
        <f t="shared" si="0"/>
        <v>男</v>
      </c>
      <c r="G4" s="22">
        <f ca="1" t="shared" si="1"/>
        <v>50</v>
      </c>
      <c r="H4" s="25">
        <v>15949125928</v>
      </c>
      <c r="I4" s="26">
        <v>40429</v>
      </c>
      <c r="J4" s="26"/>
      <c r="K4" s="23" t="s">
        <v>23</v>
      </c>
      <c r="L4" s="23" t="s">
        <v>24</v>
      </c>
      <c r="M4" s="23" t="str">
        <f ca="1" t="shared" si="2"/>
        <v>15年7个月</v>
      </c>
      <c r="N4" s="23" t="s">
        <v>25</v>
      </c>
      <c r="O4" s="27"/>
      <c r="P4" s="23" t="s">
        <v>26</v>
      </c>
      <c r="Q4" s="28" t="s">
        <v>27</v>
      </c>
      <c r="R4" s="29" t="s">
        <v>32</v>
      </c>
      <c r="S4" s="29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  <c r="HZ4" s="30"/>
      <c r="IA4" s="30"/>
      <c r="IB4" s="30"/>
      <c r="IC4" s="30"/>
      <c r="ID4" s="30"/>
      <c r="IE4" s="30"/>
      <c r="IF4" s="30"/>
      <c r="IG4" s="30"/>
      <c r="IH4" s="30"/>
      <c r="II4" s="30"/>
      <c r="IJ4" s="30"/>
      <c r="IK4" s="30"/>
      <c r="IL4" s="30"/>
      <c r="IM4" s="30"/>
      <c r="IN4" s="30"/>
      <c r="IO4" s="30"/>
      <c r="IP4" s="30"/>
      <c r="IQ4" s="30"/>
      <c r="IR4" s="30"/>
      <c r="IS4" s="30"/>
      <c r="IT4" s="30"/>
      <c r="IU4" s="30"/>
    </row>
    <row r="5" s="3" customFormat="1" customHeight="1" spans="1:255">
      <c r="A5" s="22">
        <v>3</v>
      </c>
      <c r="B5" s="23" t="s">
        <v>33</v>
      </c>
      <c r="C5" s="23" t="s">
        <v>34</v>
      </c>
      <c r="D5" s="167" t="s">
        <v>35</v>
      </c>
      <c r="E5" s="24">
        <v>19851227</v>
      </c>
      <c r="F5" s="23" t="str">
        <f t="shared" si="0"/>
        <v>男</v>
      </c>
      <c r="G5" s="22">
        <f ca="1" t="shared" si="1"/>
        <v>41</v>
      </c>
      <c r="H5" s="25">
        <v>15949126928</v>
      </c>
      <c r="I5" s="26">
        <v>40429</v>
      </c>
      <c r="J5" s="26"/>
      <c r="K5" s="23" t="s">
        <v>23</v>
      </c>
      <c r="L5" s="23" t="s">
        <v>24</v>
      </c>
      <c r="M5" s="23" t="str">
        <f ca="1" t="shared" si="2"/>
        <v>15年7个月</v>
      </c>
      <c r="N5" s="23" t="s">
        <v>25</v>
      </c>
      <c r="O5" s="27"/>
      <c r="P5" s="23" t="s">
        <v>26</v>
      </c>
      <c r="Q5" s="28" t="s">
        <v>27</v>
      </c>
      <c r="R5" s="29" t="s">
        <v>36</v>
      </c>
      <c r="S5" s="29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</row>
    <row r="6" s="3" customFormat="1" customHeight="1" spans="1:255">
      <c r="A6" s="22">
        <v>4</v>
      </c>
      <c r="B6" s="23" t="s">
        <v>37</v>
      </c>
      <c r="C6" s="23" t="s">
        <v>38</v>
      </c>
      <c r="D6" s="167" t="s">
        <v>39</v>
      </c>
      <c r="E6" s="24">
        <v>19890513</v>
      </c>
      <c r="F6" s="23" t="str">
        <f t="shared" si="0"/>
        <v>男</v>
      </c>
      <c r="G6" s="22">
        <f ca="1" t="shared" si="1"/>
        <v>37</v>
      </c>
      <c r="H6" s="25">
        <v>18251430272</v>
      </c>
      <c r="I6" s="26">
        <v>41131</v>
      </c>
      <c r="J6" s="26"/>
      <c r="K6" s="23" t="s">
        <v>23</v>
      </c>
      <c r="L6" s="23" t="s">
        <v>24</v>
      </c>
      <c r="M6" s="23" t="str">
        <f ca="1" t="shared" si="2"/>
        <v>13年8个月</v>
      </c>
      <c r="N6" s="23" t="s">
        <v>25</v>
      </c>
      <c r="O6" s="27"/>
      <c r="P6" s="23" t="s">
        <v>26</v>
      </c>
      <c r="Q6" s="28" t="s">
        <v>27</v>
      </c>
      <c r="R6" s="29" t="s">
        <v>40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  <c r="HZ6" s="30"/>
      <c r="IA6" s="30"/>
      <c r="IB6" s="30"/>
      <c r="IC6" s="30"/>
      <c r="ID6" s="30"/>
      <c r="IE6" s="30"/>
      <c r="IF6" s="30"/>
      <c r="IG6" s="30"/>
      <c r="IH6" s="30"/>
      <c r="II6" s="30"/>
      <c r="IJ6" s="30"/>
      <c r="IK6" s="30"/>
      <c r="IL6" s="30"/>
      <c r="IM6" s="30"/>
      <c r="IN6" s="30"/>
      <c r="IO6" s="30"/>
      <c r="IP6" s="30"/>
      <c r="IQ6" s="30"/>
      <c r="IR6" s="30"/>
      <c r="IS6" s="30"/>
      <c r="IT6" s="30"/>
      <c r="IU6" s="30"/>
    </row>
    <row r="7" s="3" customFormat="1" customHeight="1" spans="1:255">
      <c r="A7" s="22">
        <v>5</v>
      </c>
      <c r="B7" s="23" t="s">
        <v>41</v>
      </c>
      <c r="C7" s="23" t="s">
        <v>42</v>
      </c>
      <c r="D7" s="167" t="s">
        <v>43</v>
      </c>
      <c r="E7" s="24">
        <v>19670112</v>
      </c>
      <c r="F7" s="23" t="str">
        <f t="shared" si="0"/>
        <v>男</v>
      </c>
      <c r="G7" s="22">
        <f ca="1" t="shared" si="1"/>
        <v>59</v>
      </c>
      <c r="H7" s="25">
        <v>15371193006</v>
      </c>
      <c r="I7" s="26">
        <v>41722</v>
      </c>
      <c r="J7" s="26"/>
      <c r="K7" s="23" t="s">
        <v>44</v>
      </c>
      <c r="L7" s="23" t="s">
        <v>45</v>
      </c>
      <c r="M7" s="23" t="str">
        <f ca="1" t="shared" si="2"/>
        <v>12年0个月</v>
      </c>
      <c r="N7" s="23" t="s">
        <v>25</v>
      </c>
      <c r="O7" s="27"/>
      <c r="P7" s="23" t="s">
        <v>26</v>
      </c>
      <c r="Q7" s="28" t="s">
        <v>27</v>
      </c>
      <c r="R7" s="29" t="s">
        <v>46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  <c r="HZ7" s="30"/>
      <c r="IA7" s="30"/>
      <c r="IB7" s="30"/>
      <c r="IC7" s="30"/>
      <c r="ID7" s="30"/>
      <c r="IE7" s="30"/>
      <c r="IF7" s="30"/>
      <c r="IG7" s="30"/>
      <c r="IH7" s="30"/>
      <c r="II7" s="30"/>
      <c r="IJ7" s="30"/>
      <c r="IK7" s="30"/>
      <c r="IL7" s="30"/>
      <c r="IM7" s="30"/>
      <c r="IN7" s="30"/>
      <c r="IO7" s="30"/>
      <c r="IP7" s="30"/>
      <c r="IQ7" s="30"/>
      <c r="IR7" s="30"/>
      <c r="IS7" s="30"/>
      <c r="IT7" s="30"/>
      <c r="IU7" s="30"/>
    </row>
    <row r="8" s="3" customFormat="1" customHeight="1" spans="1:255">
      <c r="A8" s="22">
        <v>6</v>
      </c>
      <c r="B8" s="23" t="s">
        <v>47</v>
      </c>
      <c r="C8" s="23" t="s">
        <v>48</v>
      </c>
      <c r="D8" s="167" t="s">
        <v>49</v>
      </c>
      <c r="E8" s="24">
        <v>19860522</v>
      </c>
      <c r="F8" s="23" t="str">
        <f t="shared" si="0"/>
        <v>女</v>
      </c>
      <c r="G8" s="22">
        <f ca="1" t="shared" si="1"/>
        <v>40</v>
      </c>
      <c r="H8" s="25">
        <v>13814355696</v>
      </c>
      <c r="I8" s="26">
        <v>41744</v>
      </c>
      <c r="J8" s="26"/>
      <c r="K8" s="23" t="s">
        <v>50</v>
      </c>
      <c r="L8" s="23" t="s">
        <v>51</v>
      </c>
      <c r="M8" s="23" t="str">
        <f ca="1" t="shared" si="2"/>
        <v>11年11个月</v>
      </c>
      <c r="N8" s="23" t="s">
        <v>25</v>
      </c>
      <c r="O8" s="27"/>
      <c r="P8" s="31">
        <v>45291</v>
      </c>
      <c r="Q8" s="28" t="s">
        <v>27</v>
      </c>
      <c r="R8" s="29" t="s">
        <v>52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0"/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  <c r="GG8" s="30"/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  <c r="GY8" s="30"/>
      <c r="GZ8" s="30"/>
      <c r="HA8" s="30"/>
      <c r="HB8" s="30"/>
      <c r="HC8" s="30"/>
      <c r="HD8" s="30"/>
      <c r="HE8" s="30"/>
      <c r="HF8" s="30"/>
      <c r="HG8" s="30"/>
      <c r="HH8" s="30"/>
      <c r="HI8" s="30"/>
      <c r="HJ8" s="30"/>
      <c r="HK8" s="30"/>
      <c r="HL8" s="30"/>
      <c r="HM8" s="30"/>
      <c r="HN8" s="30"/>
      <c r="HO8" s="30"/>
      <c r="HP8" s="30"/>
      <c r="HQ8" s="30"/>
      <c r="HR8" s="30"/>
      <c r="HS8" s="30"/>
      <c r="HT8" s="30"/>
      <c r="HU8" s="30"/>
      <c r="HV8" s="30"/>
      <c r="HW8" s="30"/>
      <c r="HX8" s="30"/>
      <c r="HY8" s="30"/>
      <c r="HZ8" s="30"/>
      <c r="IA8" s="30"/>
      <c r="IB8" s="30"/>
      <c r="IC8" s="30"/>
      <c r="ID8" s="30"/>
      <c r="IE8" s="30"/>
      <c r="IF8" s="30"/>
      <c r="IG8" s="30"/>
      <c r="IH8" s="30"/>
      <c r="II8" s="30"/>
      <c r="IJ8" s="30"/>
      <c r="IK8" s="30"/>
      <c r="IL8" s="30"/>
      <c r="IM8" s="30"/>
      <c r="IN8" s="30"/>
      <c r="IO8" s="30"/>
      <c r="IP8" s="30"/>
      <c r="IQ8" s="30"/>
      <c r="IR8" s="30"/>
      <c r="IS8" s="30"/>
      <c r="IT8" s="30"/>
      <c r="IU8" s="30"/>
    </row>
    <row r="9" s="3" customFormat="1" customHeight="1" spans="1:255">
      <c r="A9" s="22">
        <v>7</v>
      </c>
      <c r="B9" s="23" t="s">
        <v>53</v>
      </c>
      <c r="C9" s="23" t="s">
        <v>54</v>
      </c>
      <c r="D9" s="167" t="s">
        <v>55</v>
      </c>
      <c r="E9" s="24">
        <v>19850302</v>
      </c>
      <c r="F9" s="23" t="str">
        <f t="shared" si="0"/>
        <v>女</v>
      </c>
      <c r="G9" s="22">
        <f ca="1" t="shared" si="1"/>
        <v>41</v>
      </c>
      <c r="H9" s="25">
        <v>15358231812</v>
      </c>
      <c r="I9" s="26">
        <v>41985</v>
      </c>
      <c r="J9" s="26"/>
      <c r="K9" s="23" t="s">
        <v>56</v>
      </c>
      <c r="L9" s="23" t="s">
        <v>57</v>
      </c>
      <c r="M9" s="23" t="str">
        <f ca="1" t="shared" si="2"/>
        <v>11年4个月</v>
      </c>
      <c r="N9" s="23" t="s">
        <v>25</v>
      </c>
      <c r="O9" s="27"/>
      <c r="P9" s="23" t="s">
        <v>26</v>
      </c>
      <c r="Q9" s="28" t="s">
        <v>27</v>
      </c>
      <c r="R9" s="29" t="s">
        <v>36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</row>
    <row r="10" s="3" customFormat="1" customHeight="1" spans="1:255">
      <c r="A10" s="22">
        <v>8</v>
      </c>
      <c r="B10" s="23" t="s">
        <v>58</v>
      </c>
      <c r="C10" s="23" t="s">
        <v>59</v>
      </c>
      <c r="D10" s="167" t="s">
        <v>60</v>
      </c>
      <c r="E10" s="24">
        <v>19900608</v>
      </c>
      <c r="F10" s="23" t="str">
        <f t="shared" si="0"/>
        <v>男</v>
      </c>
      <c r="G10" s="22">
        <f ca="1" t="shared" si="1"/>
        <v>36</v>
      </c>
      <c r="H10" s="25">
        <v>13851164957</v>
      </c>
      <c r="I10" s="26">
        <v>42248</v>
      </c>
      <c r="J10" s="26"/>
      <c r="K10" s="23" t="s">
        <v>61</v>
      </c>
      <c r="L10" s="23" t="s">
        <v>62</v>
      </c>
      <c r="M10" s="23" t="str">
        <f ca="1" t="shared" si="2"/>
        <v>10年7个月</v>
      </c>
      <c r="N10" s="23" t="s">
        <v>25</v>
      </c>
      <c r="O10" s="27"/>
      <c r="P10" s="23" t="s">
        <v>26</v>
      </c>
      <c r="Q10" s="28" t="s">
        <v>27</v>
      </c>
      <c r="R10" s="29" t="s">
        <v>52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</row>
    <row r="11" s="3" customFormat="1" customHeight="1" spans="1:255">
      <c r="A11" s="22">
        <v>9</v>
      </c>
      <c r="B11" s="23" t="s">
        <v>63</v>
      </c>
      <c r="C11" s="23" t="s">
        <v>64</v>
      </c>
      <c r="D11" s="167" t="s">
        <v>65</v>
      </c>
      <c r="E11" s="24">
        <v>19900921</v>
      </c>
      <c r="F11" s="23" t="str">
        <f t="shared" si="0"/>
        <v>男</v>
      </c>
      <c r="G11" s="22">
        <f ca="1" t="shared" si="1"/>
        <v>36</v>
      </c>
      <c r="H11" s="25">
        <v>15962027137</v>
      </c>
      <c r="I11" s="26">
        <v>42293</v>
      </c>
      <c r="J11" s="26"/>
      <c r="K11" s="23" t="s">
        <v>23</v>
      </c>
      <c r="L11" s="23" t="s">
        <v>66</v>
      </c>
      <c r="M11" s="23" t="str">
        <f ca="1" t="shared" si="2"/>
        <v>10年5个月</v>
      </c>
      <c r="N11" s="23" t="s">
        <v>25</v>
      </c>
      <c r="O11" s="27"/>
      <c r="P11" s="23" t="s">
        <v>26</v>
      </c>
      <c r="Q11" s="28" t="s">
        <v>27</v>
      </c>
      <c r="R11" s="29" t="s">
        <v>28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  <c r="EY11" s="30"/>
      <c r="EZ11" s="30"/>
      <c r="FA11" s="30"/>
      <c r="FB11" s="30"/>
      <c r="FC11" s="30"/>
      <c r="FD11" s="30"/>
      <c r="FE11" s="30"/>
      <c r="FF11" s="30"/>
      <c r="FG11" s="30"/>
      <c r="FH11" s="30"/>
      <c r="FI11" s="30"/>
      <c r="FJ11" s="30"/>
      <c r="FK11" s="30"/>
      <c r="FL11" s="30"/>
      <c r="FM11" s="30"/>
      <c r="FN11" s="30"/>
      <c r="FO11" s="30"/>
      <c r="FP11" s="30"/>
      <c r="FQ11" s="30"/>
      <c r="FR11" s="30"/>
      <c r="FS11" s="30"/>
      <c r="FT11" s="30"/>
      <c r="FU11" s="30"/>
      <c r="FV11" s="30"/>
      <c r="FW11" s="30"/>
      <c r="FX11" s="30"/>
      <c r="FY11" s="30"/>
      <c r="FZ11" s="30"/>
      <c r="GA11" s="30"/>
      <c r="GB11" s="30"/>
      <c r="GC11" s="30"/>
      <c r="GD11" s="30"/>
      <c r="GE11" s="30"/>
      <c r="GF11" s="30"/>
      <c r="GG11" s="30"/>
      <c r="GH11" s="30"/>
      <c r="GI11" s="30"/>
      <c r="GJ11" s="30"/>
      <c r="GK11" s="30"/>
      <c r="GL11" s="30"/>
      <c r="GM11" s="30"/>
      <c r="GN11" s="30"/>
      <c r="GO11" s="30"/>
      <c r="GP11" s="30"/>
      <c r="GQ11" s="30"/>
      <c r="GR11" s="30"/>
      <c r="GS11" s="30"/>
      <c r="GT11" s="30"/>
      <c r="GU11" s="30"/>
      <c r="GV11" s="30"/>
      <c r="GW11" s="30"/>
      <c r="GX11" s="30"/>
      <c r="GY11" s="30"/>
      <c r="GZ11" s="30"/>
      <c r="HA11" s="30"/>
      <c r="HB11" s="30"/>
      <c r="HC11" s="30"/>
      <c r="HD11" s="30"/>
      <c r="HE11" s="30"/>
      <c r="HF11" s="30"/>
      <c r="HG11" s="30"/>
      <c r="HH11" s="30"/>
      <c r="HI11" s="30"/>
      <c r="HJ11" s="30"/>
      <c r="HK11" s="30"/>
      <c r="HL11" s="30"/>
      <c r="HM11" s="30"/>
      <c r="HN11" s="30"/>
      <c r="HO11" s="30"/>
      <c r="HP11" s="30"/>
      <c r="HQ11" s="30"/>
      <c r="HR11" s="30"/>
      <c r="HS11" s="30"/>
      <c r="HT11" s="30"/>
      <c r="HU11" s="30"/>
      <c r="HV11" s="30"/>
      <c r="HW11" s="30"/>
      <c r="HX11" s="30"/>
      <c r="HY11" s="30"/>
      <c r="HZ11" s="30"/>
      <c r="IA11" s="30"/>
      <c r="IB11" s="30"/>
      <c r="IC11" s="30"/>
      <c r="ID11" s="30"/>
      <c r="IE11" s="30"/>
      <c r="IF11" s="30"/>
      <c r="IG11" s="30"/>
      <c r="IH11" s="30"/>
      <c r="II11" s="30"/>
      <c r="IJ11" s="30"/>
      <c r="IK11" s="30"/>
      <c r="IL11" s="30"/>
      <c r="IM11" s="30"/>
      <c r="IN11" s="30"/>
      <c r="IO11" s="30"/>
      <c r="IP11" s="30"/>
      <c r="IQ11" s="30"/>
      <c r="IR11" s="30"/>
      <c r="IS11" s="30"/>
      <c r="IT11" s="30"/>
      <c r="IU11" s="30"/>
    </row>
    <row r="12" s="3" customFormat="1" customHeight="1" spans="1:255">
      <c r="A12" s="22">
        <v>10</v>
      </c>
      <c r="B12" s="23" t="s">
        <v>67</v>
      </c>
      <c r="C12" s="23" t="s">
        <v>68</v>
      </c>
      <c r="D12" s="167" t="s">
        <v>69</v>
      </c>
      <c r="E12" s="24">
        <v>19921229</v>
      </c>
      <c r="F12" s="23" t="str">
        <f t="shared" si="0"/>
        <v>女</v>
      </c>
      <c r="G12" s="22">
        <f ca="1" t="shared" si="1"/>
        <v>34</v>
      </c>
      <c r="H12" s="25">
        <v>13962078176</v>
      </c>
      <c r="I12" s="26">
        <v>42430</v>
      </c>
      <c r="J12" s="26"/>
      <c r="K12" s="23" t="s">
        <v>70</v>
      </c>
      <c r="L12" s="23" t="s">
        <v>71</v>
      </c>
      <c r="M12" s="23" t="str">
        <f ca="1" t="shared" si="2"/>
        <v>10年1个月</v>
      </c>
      <c r="N12" s="23" t="s">
        <v>25</v>
      </c>
      <c r="O12" s="27"/>
      <c r="P12" s="31">
        <v>46752</v>
      </c>
      <c r="Q12" s="28" t="s">
        <v>27</v>
      </c>
      <c r="R12" s="29" t="s">
        <v>52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  <c r="EY12" s="30"/>
      <c r="EZ12" s="30"/>
      <c r="FA12" s="30"/>
      <c r="FB12" s="30"/>
      <c r="FC12" s="30"/>
      <c r="FD12" s="30"/>
      <c r="FE12" s="30"/>
      <c r="FF12" s="30"/>
      <c r="FG12" s="30"/>
      <c r="FH12" s="30"/>
      <c r="FI12" s="30"/>
      <c r="FJ12" s="30"/>
      <c r="FK12" s="30"/>
      <c r="FL12" s="30"/>
      <c r="FM12" s="30"/>
      <c r="FN12" s="30"/>
      <c r="FO12" s="30"/>
      <c r="FP12" s="30"/>
      <c r="FQ12" s="30"/>
      <c r="FR12" s="30"/>
      <c r="FS12" s="30"/>
      <c r="FT12" s="30"/>
      <c r="FU12" s="30"/>
      <c r="FV12" s="30"/>
      <c r="FW12" s="30"/>
      <c r="FX12" s="30"/>
      <c r="FY12" s="30"/>
      <c r="FZ12" s="30"/>
      <c r="GA12" s="30"/>
      <c r="GB12" s="30"/>
      <c r="GC12" s="30"/>
      <c r="GD12" s="30"/>
      <c r="GE12" s="30"/>
      <c r="GF12" s="30"/>
      <c r="GG12" s="30"/>
      <c r="GH12" s="30"/>
      <c r="GI12" s="30"/>
      <c r="GJ12" s="30"/>
      <c r="GK12" s="30"/>
      <c r="GL12" s="30"/>
      <c r="GM12" s="30"/>
      <c r="GN12" s="30"/>
      <c r="GO12" s="30"/>
      <c r="GP12" s="30"/>
      <c r="GQ12" s="30"/>
      <c r="GR12" s="30"/>
      <c r="GS12" s="30"/>
      <c r="GT12" s="30"/>
      <c r="GU12" s="30"/>
      <c r="GV12" s="30"/>
      <c r="GW12" s="30"/>
      <c r="GX12" s="30"/>
      <c r="GY12" s="30"/>
      <c r="GZ12" s="30"/>
      <c r="HA12" s="30"/>
      <c r="HB12" s="30"/>
      <c r="HC12" s="30"/>
      <c r="HD12" s="30"/>
      <c r="HE12" s="30"/>
      <c r="HF12" s="30"/>
      <c r="HG12" s="30"/>
      <c r="HH12" s="30"/>
      <c r="HI12" s="30"/>
      <c r="HJ12" s="30"/>
      <c r="HK12" s="30"/>
      <c r="HL12" s="30"/>
      <c r="HM12" s="30"/>
      <c r="HN12" s="30"/>
      <c r="HO12" s="30"/>
      <c r="HP12" s="30"/>
      <c r="HQ12" s="30"/>
      <c r="HR12" s="30"/>
      <c r="HS12" s="30"/>
      <c r="HT12" s="30"/>
      <c r="HU12" s="30"/>
      <c r="HV12" s="30"/>
      <c r="HW12" s="30"/>
      <c r="HX12" s="30"/>
      <c r="HY12" s="30"/>
      <c r="HZ12" s="30"/>
      <c r="IA12" s="30"/>
      <c r="IB12" s="30"/>
      <c r="IC12" s="30"/>
      <c r="ID12" s="30"/>
      <c r="IE12" s="30"/>
      <c r="IF12" s="30"/>
      <c r="IG12" s="30"/>
      <c r="IH12" s="30"/>
      <c r="II12" s="30"/>
      <c r="IJ12" s="30"/>
      <c r="IK12" s="30"/>
      <c r="IL12" s="30"/>
      <c r="IM12" s="30"/>
      <c r="IN12" s="30"/>
      <c r="IO12" s="30"/>
      <c r="IP12" s="30"/>
      <c r="IQ12" s="30"/>
      <c r="IR12" s="30"/>
      <c r="IS12" s="30"/>
      <c r="IT12" s="30"/>
      <c r="IU12" s="30"/>
    </row>
    <row r="13" s="3" customFormat="1" customHeight="1" spans="1:255">
      <c r="A13" s="22">
        <v>11</v>
      </c>
      <c r="B13" s="23" t="s">
        <v>72</v>
      </c>
      <c r="C13" s="23" t="s">
        <v>73</v>
      </c>
      <c r="D13" s="167" t="s">
        <v>74</v>
      </c>
      <c r="E13" s="24">
        <v>19890102</v>
      </c>
      <c r="F13" s="23" t="str">
        <f t="shared" si="0"/>
        <v>男</v>
      </c>
      <c r="G13" s="22">
        <f ca="1" t="shared" si="1"/>
        <v>37</v>
      </c>
      <c r="H13" s="25">
        <v>15162228567</v>
      </c>
      <c r="I13" s="26">
        <v>42684</v>
      </c>
      <c r="J13" s="26"/>
      <c r="K13" s="23" t="s">
        <v>23</v>
      </c>
      <c r="L13" s="23" t="s">
        <v>66</v>
      </c>
      <c r="M13" s="23" t="str">
        <f ca="1" t="shared" si="2"/>
        <v>9年5个月</v>
      </c>
      <c r="N13" s="23" t="s">
        <v>25</v>
      </c>
      <c r="O13" s="27"/>
      <c r="P13" s="23" t="s">
        <v>26</v>
      </c>
      <c r="Q13" s="28" t="s">
        <v>27</v>
      </c>
      <c r="R13" s="29" t="s">
        <v>36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0"/>
      <c r="DX13" s="30"/>
      <c r="DY13" s="30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  <c r="EY13" s="30"/>
      <c r="EZ13" s="30"/>
      <c r="FA13" s="30"/>
      <c r="FB13" s="30"/>
      <c r="FC13" s="30"/>
      <c r="FD13" s="30"/>
      <c r="FE13" s="30"/>
      <c r="FF13" s="30"/>
      <c r="FG13" s="30"/>
      <c r="FH13" s="30"/>
      <c r="FI13" s="30"/>
      <c r="FJ13" s="30"/>
      <c r="FK13" s="30"/>
      <c r="FL13" s="30"/>
      <c r="FM13" s="30"/>
      <c r="FN13" s="30"/>
      <c r="FO13" s="30"/>
      <c r="FP13" s="30"/>
      <c r="FQ13" s="30"/>
      <c r="FR13" s="30"/>
      <c r="FS13" s="30"/>
      <c r="FT13" s="30"/>
      <c r="FU13" s="30"/>
      <c r="FV13" s="30"/>
      <c r="FW13" s="30"/>
      <c r="FX13" s="30"/>
      <c r="FY13" s="30"/>
      <c r="FZ13" s="30"/>
      <c r="GA13" s="30"/>
      <c r="GB13" s="30"/>
      <c r="GC13" s="30"/>
      <c r="GD13" s="30"/>
      <c r="GE13" s="30"/>
      <c r="GF13" s="30"/>
      <c r="GG13" s="30"/>
      <c r="GH13" s="30"/>
      <c r="GI13" s="30"/>
      <c r="GJ13" s="30"/>
      <c r="GK13" s="30"/>
      <c r="GL13" s="30"/>
      <c r="GM13" s="30"/>
      <c r="GN13" s="30"/>
      <c r="GO13" s="30"/>
      <c r="GP13" s="30"/>
      <c r="GQ13" s="30"/>
      <c r="GR13" s="30"/>
      <c r="GS13" s="30"/>
      <c r="GT13" s="30"/>
      <c r="GU13" s="30"/>
      <c r="GV13" s="30"/>
      <c r="GW13" s="30"/>
      <c r="GX13" s="30"/>
      <c r="GY13" s="30"/>
      <c r="GZ13" s="30"/>
      <c r="HA13" s="30"/>
      <c r="HB13" s="30"/>
      <c r="HC13" s="30"/>
      <c r="HD13" s="30"/>
      <c r="HE13" s="30"/>
      <c r="HF13" s="30"/>
      <c r="HG13" s="30"/>
      <c r="HH13" s="30"/>
      <c r="HI13" s="30"/>
      <c r="HJ13" s="30"/>
      <c r="HK13" s="30"/>
      <c r="HL13" s="30"/>
      <c r="HM13" s="30"/>
      <c r="HN13" s="30"/>
      <c r="HO13" s="30"/>
      <c r="HP13" s="30"/>
      <c r="HQ13" s="30"/>
      <c r="HR13" s="30"/>
      <c r="HS13" s="30"/>
      <c r="HT13" s="30"/>
      <c r="HU13" s="30"/>
      <c r="HV13" s="30"/>
      <c r="HW13" s="30"/>
      <c r="HX13" s="30"/>
      <c r="HY13" s="30"/>
      <c r="HZ13" s="30"/>
      <c r="IA13" s="30"/>
      <c r="IB13" s="30"/>
      <c r="IC13" s="30"/>
      <c r="ID13" s="30"/>
      <c r="IE13" s="30"/>
      <c r="IF13" s="30"/>
      <c r="IG13" s="30"/>
      <c r="IH13" s="30"/>
      <c r="II13" s="30"/>
      <c r="IJ13" s="30"/>
      <c r="IK13" s="30"/>
      <c r="IL13" s="30"/>
      <c r="IM13" s="30"/>
      <c r="IN13" s="30"/>
      <c r="IO13" s="30"/>
      <c r="IP13" s="30"/>
      <c r="IQ13" s="30"/>
      <c r="IR13" s="30"/>
      <c r="IS13" s="30"/>
      <c r="IT13" s="30"/>
      <c r="IU13" s="30"/>
    </row>
    <row r="14" s="3" customFormat="1" customHeight="1" spans="1:255">
      <c r="A14" s="22">
        <v>12</v>
      </c>
      <c r="B14" s="23" t="s">
        <v>75</v>
      </c>
      <c r="C14" s="23" t="s">
        <v>76</v>
      </c>
      <c r="D14" s="167" t="s">
        <v>77</v>
      </c>
      <c r="E14" s="24">
        <v>19900906</v>
      </c>
      <c r="F14" s="23" t="str">
        <f t="shared" si="0"/>
        <v>女</v>
      </c>
      <c r="G14" s="22">
        <f ca="1" t="shared" si="1"/>
        <v>36</v>
      </c>
      <c r="H14" s="25">
        <v>15251154600</v>
      </c>
      <c r="I14" s="26">
        <v>43024</v>
      </c>
      <c r="J14" s="26"/>
      <c r="K14" s="23" t="s">
        <v>78</v>
      </c>
      <c r="L14" s="23" t="s">
        <v>79</v>
      </c>
      <c r="M14" s="23" t="str">
        <f ca="1" t="shared" si="2"/>
        <v>8年5个月</v>
      </c>
      <c r="N14" s="23" t="s">
        <v>25</v>
      </c>
      <c r="O14" s="27"/>
      <c r="P14" s="23" t="s">
        <v>26</v>
      </c>
      <c r="Q14" s="32" t="s">
        <v>80</v>
      </c>
      <c r="R14" s="29" t="s">
        <v>28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0"/>
      <c r="FC14" s="30"/>
      <c r="FD14" s="30"/>
      <c r="FE14" s="30"/>
      <c r="FF14" s="30"/>
      <c r="FG14" s="30"/>
      <c r="FH14" s="30"/>
      <c r="FI14" s="30"/>
      <c r="FJ14" s="30"/>
      <c r="FK14" s="30"/>
      <c r="FL14" s="30"/>
      <c r="FM14" s="30"/>
      <c r="FN14" s="30"/>
      <c r="FO14" s="30"/>
      <c r="FP14" s="30"/>
      <c r="FQ14" s="30"/>
      <c r="FR14" s="30"/>
      <c r="FS14" s="30"/>
      <c r="FT14" s="30"/>
      <c r="FU14" s="30"/>
      <c r="FV14" s="30"/>
      <c r="FW14" s="30"/>
      <c r="FX14" s="30"/>
      <c r="FY14" s="30"/>
      <c r="FZ14" s="30"/>
      <c r="GA14" s="30"/>
      <c r="GB14" s="30"/>
      <c r="GC14" s="30"/>
      <c r="GD14" s="30"/>
      <c r="GE14" s="30"/>
      <c r="GF14" s="30"/>
      <c r="GG14" s="30"/>
      <c r="GH14" s="30"/>
      <c r="GI14" s="30"/>
      <c r="GJ14" s="30"/>
      <c r="GK14" s="30"/>
      <c r="GL14" s="30"/>
      <c r="GM14" s="30"/>
      <c r="GN14" s="30"/>
      <c r="GO14" s="30"/>
      <c r="GP14" s="30"/>
      <c r="GQ14" s="30"/>
      <c r="GR14" s="30"/>
      <c r="GS14" s="30"/>
      <c r="GT14" s="30"/>
      <c r="GU14" s="30"/>
      <c r="GV14" s="30"/>
      <c r="GW14" s="30"/>
      <c r="GX14" s="30"/>
      <c r="GY14" s="30"/>
      <c r="GZ14" s="30"/>
      <c r="HA14" s="30"/>
      <c r="HB14" s="30"/>
      <c r="HC14" s="30"/>
      <c r="HD14" s="30"/>
      <c r="HE14" s="30"/>
      <c r="HF14" s="30"/>
      <c r="HG14" s="30"/>
      <c r="HH14" s="30"/>
      <c r="HI14" s="30"/>
      <c r="HJ14" s="30"/>
      <c r="HK14" s="30"/>
      <c r="HL14" s="30"/>
      <c r="HM14" s="30"/>
      <c r="HN14" s="30"/>
      <c r="HO14" s="30"/>
      <c r="HP14" s="30"/>
      <c r="HQ14" s="30"/>
      <c r="HR14" s="30"/>
      <c r="HS14" s="30"/>
      <c r="HT14" s="30"/>
      <c r="HU14" s="30"/>
      <c r="HV14" s="30"/>
      <c r="HW14" s="30"/>
      <c r="HX14" s="30"/>
      <c r="HY14" s="30"/>
      <c r="HZ14" s="30"/>
      <c r="IA14" s="30"/>
      <c r="IB14" s="30"/>
      <c r="IC14" s="30"/>
      <c r="ID14" s="30"/>
      <c r="IE14" s="30"/>
      <c r="IF14" s="30"/>
      <c r="IG14" s="30"/>
      <c r="IH14" s="30"/>
      <c r="II14" s="30"/>
      <c r="IJ14" s="30"/>
      <c r="IK14" s="30"/>
      <c r="IL14" s="30"/>
      <c r="IM14" s="30"/>
      <c r="IN14" s="30"/>
      <c r="IO14" s="30"/>
      <c r="IP14" s="30"/>
      <c r="IQ14" s="30"/>
      <c r="IR14" s="30"/>
      <c r="IS14" s="30"/>
      <c r="IT14" s="30"/>
      <c r="IU14" s="30"/>
    </row>
    <row r="15" s="3" customFormat="1" customHeight="1" spans="1:255">
      <c r="A15" s="22">
        <v>13</v>
      </c>
      <c r="B15" s="23" t="s">
        <v>81</v>
      </c>
      <c r="C15" s="33" t="s">
        <v>82</v>
      </c>
      <c r="D15" s="168" t="s">
        <v>83</v>
      </c>
      <c r="E15" s="34">
        <v>19960205</v>
      </c>
      <c r="F15" s="23" t="str">
        <f t="shared" si="0"/>
        <v>女</v>
      </c>
      <c r="G15" s="22">
        <f ca="1" t="shared" si="1"/>
        <v>30</v>
      </c>
      <c r="H15" s="25">
        <v>15161907271</v>
      </c>
      <c r="I15" s="26">
        <v>43240</v>
      </c>
      <c r="J15" s="26"/>
      <c r="K15" s="23" t="s">
        <v>78</v>
      </c>
      <c r="L15" s="23" t="s">
        <v>84</v>
      </c>
      <c r="M15" s="23" t="str">
        <f ca="1" t="shared" si="2"/>
        <v>7年10个月</v>
      </c>
      <c r="N15" s="23" t="s">
        <v>25</v>
      </c>
      <c r="O15" s="27"/>
      <c r="P15" s="23" t="s">
        <v>26</v>
      </c>
      <c r="Q15" s="32" t="s">
        <v>80</v>
      </c>
      <c r="R15" s="29" t="s">
        <v>52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30"/>
      <c r="GE15" s="30"/>
      <c r="GF15" s="30"/>
      <c r="GG15" s="30"/>
      <c r="GH15" s="30"/>
      <c r="GI15" s="30"/>
      <c r="GJ15" s="30"/>
      <c r="GK15" s="30"/>
      <c r="GL15" s="30"/>
      <c r="GM15" s="30"/>
      <c r="GN15" s="30"/>
      <c r="GO15" s="30"/>
      <c r="GP15" s="30"/>
      <c r="GQ15" s="30"/>
      <c r="GR15" s="30"/>
      <c r="GS15" s="30"/>
      <c r="GT15" s="30"/>
      <c r="GU15" s="30"/>
      <c r="GV15" s="30"/>
      <c r="GW15" s="30"/>
      <c r="GX15" s="30"/>
      <c r="GY15" s="30"/>
      <c r="GZ15" s="30"/>
      <c r="HA15" s="30"/>
      <c r="HB15" s="30"/>
      <c r="HC15" s="30"/>
      <c r="HD15" s="30"/>
      <c r="HE15" s="30"/>
      <c r="HF15" s="30"/>
      <c r="HG15" s="30"/>
      <c r="HH15" s="30"/>
      <c r="HI15" s="30"/>
      <c r="HJ15" s="30"/>
      <c r="HK15" s="30"/>
      <c r="HL15" s="30"/>
      <c r="HM15" s="30"/>
      <c r="HN15" s="30"/>
      <c r="HO15" s="30"/>
      <c r="HP15" s="30"/>
      <c r="HQ15" s="30"/>
      <c r="HR15" s="30"/>
      <c r="HS15" s="30"/>
      <c r="HT15" s="30"/>
      <c r="HU15" s="30"/>
      <c r="HV15" s="30"/>
      <c r="HW15" s="30"/>
      <c r="HX15" s="30"/>
      <c r="HY15" s="30"/>
      <c r="HZ15" s="30"/>
      <c r="IA15" s="30"/>
      <c r="IB15" s="30"/>
      <c r="IC15" s="30"/>
      <c r="ID15" s="30"/>
      <c r="IE15" s="30"/>
      <c r="IF15" s="30"/>
      <c r="IG15" s="30"/>
      <c r="IH15" s="30"/>
      <c r="II15" s="30"/>
      <c r="IJ15" s="30"/>
      <c r="IK15" s="30"/>
      <c r="IL15" s="30"/>
      <c r="IM15" s="30"/>
      <c r="IN15" s="30"/>
      <c r="IO15" s="30"/>
      <c r="IP15" s="30"/>
      <c r="IQ15" s="30"/>
      <c r="IR15" s="30"/>
      <c r="IS15" s="30"/>
      <c r="IT15" s="30"/>
      <c r="IU15" s="30"/>
    </row>
    <row r="16" s="3" customFormat="1" customHeight="1" spans="1:255">
      <c r="A16" s="22">
        <v>14</v>
      </c>
      <c r="B16" s="23" t="s">
        <v>85</v>
      </c>
      <c r="C16" s="23" t="s">
        <v>86</v>
      </c>
      <c r="D16" s="167" t="s">
        <v>87</v>
      </c>
      <c r="E16" s="24">
        <v>19940914</v>
      </c>
      <c r="F16" s="23" t="str">
        <f t="shared" si="0"/>
        <v>女</v>
      </c>
      <c r="G16" s="22">
        <f ca="1" t="shared" si="1"/>
        <v>32</v>
      </c>
      <c r="H16" s="25">
        <v>15195529458</v>
      </c>
      <c r="I16" s="26">
        <v>43341</v>
      </c>
      <c r="J16" s="26"/>
      <c r="K16" s="23" t="s">
        <v>56</v>
      </c>
      <c r="L16" s="23" t="s">
        <v>88</v>
      </c>
      <c r="M16" s="23" t="str">
        <f ca="1" t="shared" si="2"/>
        <v>7年7个月</v>
      </c>
      <c r="N16" s="23" t="s">
        <v>25</v>
      </c>
      <c r="O16" s="27"/>
      <c r="P16" s="31">
        <v>46995</v>
      </c>
      <c r="Q16" s="28" t="s">
        <v>27</v>
      </c>
      <c r="R16" s="29" t="s">
        <v>52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  <c r="FS16" s="30"/>
      <c r="FT16" s="30"/>
      <c r="FU16" s="30"/>
      <c r="FV16" s="30"/>
      <c r="FW16" s="30"/>
      <c r="FX16" s="30"/>
      <c r="FY16" s="30"/>
      <c r="FZ16" s="30"/>
      <c r="GA16" s="30"/>
      <c r="GB16" s="30"/>
      <c r="GC16" s="30"/>
      <c r="GD16" s="30"/>
      <c r="GE16" s="30"/>
      <c r="GF16" s="30"/>
      <c r="GG16" s="30"/>
      <c r="GH16" s="30"/>
      <c r="GI16" s="30"/>
      <c r="GJ16" s="30"/>
      <c r="GK16" s="30"/>
      <c r="GL16" s="30"/>
      <c r="GM16" s="30"/>
      <c r="GN16" s="30"/>
      <c r="GO16" s="30"/>
      <c r="GP16" s="30"/>
      <c r="GQ16" s="30"/>
      <c r="GR16" s="30"/>
      <c r="GS16" s="30"/>
      <c r="GT16" s="30"/>
      <c r="GU16" s="30"/>
      <c r="GV16" s="30"/>
      <c r="GW16" s="30"/>
      <c r="GX16" s="30"/>
      <c r="GY16" s="30"/>
      <c r="GZ16" s="30"/>
      <c r="HA16" s="30"/>
      <c r="HB16" s="30"/>
      <c r="HC16" s="30"/>
      <c r="HD16" s="30"/>
      <c r="HE16" s="30"/>
      <c r="HF16" s="30"/>
      <c r="HG16" s="30"/>
      <c r="HH16" s="30"/>
      <c r="HI16" s="30"/>
      <c r="HJ16" s="30"/>
      <c r="HK16" s="30"/>
      <c r="HL16" s="30"/>
      <c r="HM16" s="30"/>
      <c r="HN16" s="30"/>
      <c r="HO16" s="30"/>
      <c r="HP16" s="30"/>
      <c r="HQ16" s="30"/>
      <c r="HR16" s="30"/>
      <c r="HS16" s="30"/>
      <c r="HT16" s="30"/>
      <c r="HU16" s="30"/>
      <c r="HV16" s="30"/>
      <c r="HW16" s="30"/>
      <c r="HX16" s="30"/>
      <c r="HY16" s="30"/>
      <c r="HZ16" s="30"/>
      <c r="IA16" s="30"/>
      <c r="IB16" s="30"/>
      <c r="IC16" s="30"/>
      <c r="ID16" s="30"/>
      <c r="IE16" s="30"/>
      <c r="IF16" s="30"/>
      <c r="IG16" s="30"/>
      <c r="IH16" s="30"/>
      <c r="II16" s="30"/>
      <c r="IJ16" s="30"/>
      <c r="IK16" s="30"/>
      <c r="IL16" s="30"/>
      <c r="IM16" s="30"/>
      <c r="IN16" s="30"/>
      <c r="IO16" s="30"/>
      <c r="IP16" s="30"/>
      <c r="IQ16" s="30"/>
      <c r="IR16" s="30"/>
      <c r="IS16" s="30"/>
      <c r="IT16" s="30"/>
      <c r="IU16" s="30"/>
    </row>
    <row r="17" s="3" customFormat="1" customHeight="1" spans="1:255">
      <c r="A17" s="22">
        <v>15</v>
      </c>
      <c r="B17" s="23" t="s">
        <v>89</v>
      </c>
      <c r="C17" s="33" t="s">
        <v>90</v>
      </c>
      <c r="D17" s="168" t="s">
        <v>91</v>
      </c>
      <c r="E17" s="34">
        <v>19710208</v>
      </c>
      <c r="F17" s="23" t="str">
        <f t="shared" si="0"/>
        <v>女</v>
      </c>
      <c r="G17" s="22">
        <f ca="1" t="shared" si="1"/>
        <v>55</v>
      </c>
      <c r="H17" s="25">
        <v>18796558445</v>
      </c>
      <c r="I17" s="26">
        <v>43371</v>
      </c>
      <c r="J17" s="26"/>
      <c r="K17" s="23" t="s">
        <v>70</v>
      </c>
      <c r="L17" s="23" t="s">
        <v>92</v>
      </c>
      <c r="M17" s="23" t="str">
        <f ca="1" t="shared" si="2"/>
        <v>7年6个月</v>
      </c>
      <c r="N17" s="23" t="s">
        <v>25</v>
      </c>
      <c r="O17" s="27"/>
      <c r="P17" s="35" t="s">
        <v>93</v>
      </c>
      <c r="Q17" s="28" t="s">
        <v>27</v>
      </c>
      <c r="R17" s="29"/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D17" s="30"/>
      <c r="GE17" s="30"/>
      <c r="GF17" s="30"/>
      <c r="GG17" s="30"/>
      <c r="GH17" s="30"/>
      <c r="GI17" s="30"/>
      <c r="GJ17" s="30"/>
      <c r="GK17" s="30"/>
      <c r="GL17" s="30"/>
      <c r="GM17" s="30"/>
      <c r="GN17" s="30"/>
      <c r="GO17" s="30"/>
      <c r="GP17" s="30"/>
      <c r="GQ17" s="30"/>
      <c r="GR17" s="30"/>
      <c r="GS17" s="30"/>
      <c r="GT17" s="30"/>
      <c r="GU17" s="30"/>
      <c r="GV17" s="30"/>
      <c r="GW17" s="30"/>
      <c r="GX17" s="30"/>
      <c r="GY17" s="30"/>
      <c r="GZ17" s="30"/>
      <c r="HA17" s="30"/>
      <c r="HB17" s="30"/>
      <c r="HC17" s="30"/>
      <c r="HD17" s="30"/>
      <c r="HE17" s="30"/>
      <c r="HF17" s="30"/>
      <c r="HG17" s="30"/>
      <c r="HH17" s="30"/>
      <c r="HI17" s="30"/>
      <c r="HJ17" s="30"/>
      <c r="HK17" s="30"/>
      <c r="HL17" s="30"/>
      <c r="HM17" s="30"/>
      <c r="HN17" s="30"/>
      <c r="HO17" s="30"/>
      <c r="HP17" s="30"/>
      <c r="HQ17" s="30"/>
      <c r="HR17" s="30"/>
      <c r="HS17" s="30"/>
      <c r="HT17" s="30"/>
      <c r="HU17" s="30"/>
      <c r="HV17" s="30"/>
      <c r="HW17" s="30"/>
      <c r="HX17" s="30"/>
      <c r="HY17" s="30"/>
      <c r="HZ17" s="30"/>
      <c r="IA17" s="30"/>
      <c r="IB17" s="30"/>
      <c r="IC17" s="30"/>
      <c r="ID17" s="30"/>
      <c r="IE17" s="30"/>
      <c r="IF17" s="30"/>
      <c r="IG17" s="30"/>
      <c r="IH17" s="30"/>
      <c r="II17" s="30"/>
      <c r="IJ17" s="30"/>
      <c r="IK17" s="30"/>
      <c r="IL17" s="30"/>
      <c r="IM17" s="30"/>
      <c r="IN17" s="30"/>
      <c r="IO17" s="30"/>
      <c r="IP17" s="30"/>
      <c r="IQ17" s="30"/>
      <c r="IR17" s="30"/>
      <c r="IS17" s="30"/>
      <c r="IT17" s="30"/>
      <c r="IU17" s="30"/>
    </row>
    <row r="18" s="3" customFormat="1" customHeight="1" spans="1:255">
      <c r="A18" s="22">
        <v>16</v>
      </c>
      <c r="B18" s="23" t="s">
        <v>94</v>
      </c>
      <c r="C18" s="23" t="s">
        <v>95</v>
      </c>
      <c r="D18" s="167" t="s">
        <v>96</v>
      </c>
      <c r="E18" s="24">
        <v>19941118</v>
      </c>
      <c r="F18" s="23" t="str">
        <f t="shared" si="0"/>
        <v>女</v>
      </c>
      <c r="G18" s="22">
        <f ca="1" t="shared" si="1"/>
        <v>32</v>
      </c>
      <c r="H18" s="25">
        <v>13813228536</v>
      </c>
      <c r="I18" s="26">
        <v>43378</v>
      </c>
      <c r="J18" s="26"/>
      <c r="K18" s="23" t="s">
        <v>78</v>
      </c>
      <c r="L18" s="23" t="s">
        <v>84</v>
      </c>
      <c r="M18" s="23" t="str">
        <f ca="1" t="shared" si="2"/>
        <v>7年6个月</v>
      </c>
      <c r="N18" s="23" t="s">
        <v>25</v>
      </c>
      <c r="O18" s="27"/>
      <c r="P18" s="23" t="s">
        <v>26</v>
      </c>
      <c r="Q18" s="28" t="s">
        <v>27</v>
      </c>
      <c r="R18" s="29" t="s">
        <v>46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0"/>
      <c r="FC18" s="30"/>
      <c r="FD18" s="30"/>
      <c r="FE18" s="30"/>
      <c r="FF18" s="30"/>
      <c r="FG18" s="30"/>
      <c r="FH18" s="30"/>
      <c r="FI18" s="30"/>
      <c r="FJ18" s="30"/>
      <c r="FK18" s="30"/>
      <c r="FL18" s="30"/>
      <c r="FM18" s="30"/>
      <c r="FN18" s="30"/>
      <c r="FO18" s="30"/>
      <c r="FP18" s="30"/>
      <c r="FQ18" s="30"/>
      <c r="FR18" s="30"/>
      <c r="FS18" s="30"/>
      <c r="FT18" s="30"/>
      <c r="FU18" s="30"/>
      <c r="FV18" s="30"/>
      <c r="FW18" s="30"/>
      <c r="FX18" s="30"/>
      <c r="FY18" s="30"/>
      <c r="FZ18" s="30"/>
      <c r="GA18" s="30"/>
      <c r="GB18" s="30"/>
      <c r="GC18" s="30"/>
      <c r="GD18" s="30"/>
      <c r="GE18" s="30"/>
      <c r="GF18" s="30"/>
      <c r="GG18" s="30"/>
      <c r="GH18" s="30"/>
      <c r="GI18" s="30"/>
      <c r="GJ18" s="30"/>
      <c r="GK18" s="30"/>
      <c r="GL18" s="30"/>
      <c r="GM18" s="30"/>
      <c r="GN18" s="30"/>
      <c r="GO18" s="30"/>
      <c r="GP18" s="30"/>
      <c r="GQ18" s="30"/>
      <c r="GR18" s="30"/>
      <c r="GS18" s="30"/>
      <c r="GT18" s="30"/>
      <c r="GU18" s="30"/>
      <c r="GV18" s="30"/>
      <c r="GW18" s="30"/>
      <c r="GX18" s="30"/>
      <c r="GY18" s="30"/>
      <c r="GZ18" s="30"/>
      <c r="HA18" s="30"/>
      <c r="HB18" s="30"/>
      <c r="HC18" s="30"/>
      <c r="HD18" s="30"/>
      <c r="HE18" s="30"/>
      <c r="HF18" s="30"/>
      <c r="HG18" s="30"/>
      <c r="HH18" s="30"/>
      <c r="HI18" s="30"/>
      <c r="HJ18" s="30"/>
      <c r="HK18" s="30"/>
      <c r="HL18" s="30"/>
      <c r="HM18" s="30"/>
      <c r="HN18" s="30"/>
      <c r="HO18" s="30"/>
      <c r="HP18" s="30"/>
      <c r="HQ18" s="30"/>
      <c r="HR18" s="30"/>
      <c r="HS18" s="30"/>
      <c r="HT18" s="30"/>
      <c r="HU18" s="30"/>
      <c r="HV18" s="30"/>
      <c r="HW18" s="30"/>
      <c r="HX18" s="30"/>
      <c r="HY18" s="30"/>
      <c r="HZ18" s="30"/>
      <c r="IA18" s="30"/>
      <c r="IB18" s="30"/>
      <c r="IC18" s="30"/>
      <c r="ID18" s="30"/>
      <c r="IE18" s="30"/>
      <c r="IF18" s="30"/>
      <c r="IG18" s="30"/>
      <c r="IH18" s="30"/>
      <c r="II18" s="30"/>
      <c r="IJ18" s="30"/>
      <c r="IK18" s="30"/>
      <c r="IL18" s="30"/>
      <c r="IM18" s="30"/>
      <c r="IN18" s="30"/>
      <c r="IO18" s="30"/>
      <c r="IP18" s="30"/>
      <c r="IQ18" s="30"/>
      <c r="IR18" s="30"/>
      <c r="IS18" s="30"/>
      <c r="IT18" s="30"/>
      <c r="IU18" s="30"/>
    </row>
    <row r="19" s="3" customFormat="1" customHeight="1" spans="1:255">
      <c r="A19" s="22">
        <v>17</v>
      </c>
      <c r="B19" s="23" t="s">
        <v>97</v>
      </c>
      <c r="C19" s="23" t="s">
        <v>98</v>
      </c>
      <c r="D19" s="167" t="s">
        <v>99</v>
      </c>
      <c r="E19" s="24">
        <v>19970627</v>
      </c>
      <c r="F19" s="23" t="str">
        <f t="shared" si="0"/>
        <v>男</v>
      </c>
      <c r="G19" s="22">
        <f ca="1" t="shared" si="1"/>
        <v>29</v>
      </c>
      <c r="H19" s="36" t="s">
        <v>100</v>
      </c>
      <c r="I19" s="26">
        <v>43542</v>
      </c>
      <c r="J19" s="26"/>
      <c r="K19" s="23" t="s">
        <v>70</v>
      </c>
      <c r="L19" s="23" t="s">
        <v>101</v>
      </c>
      <c r="M19" s="23" t="str">
        <f ca="1" t="shared" si="2"/>
        <v>7年0个月</v>
      </c>
      <c r="N19" s="23" t="s">
        <v>25</v>
      </c>
      <c r="O19" s="27"/>
      <c r="P19" s="23" t="s">
        <v>26</v>
      </c>
      <c r="Q19" s="28" t="s">
        <v>27</v>
      </c>
      <c r="R19" s="29" t="s">
        <v>52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  <c r="EY19" s="30"/>
      <c r="EZ19" s="30"/>
      <c r="FA19" s="30"/>
      <c r="FB19" s="30"/>
      <c r="FC19" s="30"/>
      <c r="FD19" s="30"/>
      <c r="FE19" s="30"/>
      <c r="FF19" s="30"/>
      <c r="FG19" s="30"/>
      <c r="FH19" s="30"/>
      <c r="FI19" s="30"/>
      <c r="FJ19" s="30"/>
      <c r="FK19" s="30"/>
      <c r="FL19" s="30"/>
      <c r="FM19" s="30"/>
      <c r="FN19" s="30"/>
      <c r="FO19" s="30"/>
      <c r="FP19" s="30"/>
      <c r="FQ19" s="30"/>
      <c r="FR19" s="30"/>
      <c r="FS19" s="30"/>
      <c r="FT19" s="30"/>
      <c r="FU19" s="30"/>
      <c r="FV19" s="30"/>
      <c r="FW19" s="30"/>
      <c r="FX19" s="30"/>
      <c r="FY19" s="30"/>
      <c r="FZ19" s="30"/>
      <c r="GA19" s="30"/>
      <c r="GB19" s="30"/>
      <c r="GC19" s="30"/>
      <c r="GD19" s="30"/>
      <c r="GE19" s="30"/>
      <c r="GF19" s="30"/>
      <c r="GG19" s="30"/>
      <c r="GH19" s="30"/>
      <c r="GI19" s="30"/>
      <c r="GJ19" s="30"/>
      <c r="GK19" s="30"/>
      <c r="GL19" s="30"/>
      <c r="GM19" s="30"/>
      <c r="GN19" s="30"/>
      <c r="GO19" s="30"/>
      <c r="GP19" s="30"/>
      <c r="GQ19" s="30"/>
      <c r="GR19" s="30"/>
      <c r="GS19" s="30"/>
      <c r="GT19" s="30"/>
      <c r="GU19" s="30"/>
      <c r="GV19" s="30"/>
      <c r="GW19" s="30"/>
      <c r="GX19" s="30"/>
      <c r="GY19" s="30"/>
      <c r="GZ19" s="30"/>
      <c r="HA19" s="30"/>
      <c r="HB19" s="30"/>
      <c r="HC19" s="30"/>
      <c r="HD19" s="30"/>
      <c r="HE19" s="30"/>
      <c r="HF19" s="30"/>
      <c r="HG19" s="30"/>
      <c r="HH19" s="30"/>
      <c r="HI19" s="30"/>
      <c r="HJ19" s="30"/>
      <c r="HK19" s="30"/>
      <c r="HL19" s="30"/>
      <c r="HM19" s="30"/>
      <c r="HN19" s="30"/>
      <c r="HO19" s="30"/>
      <c r="HP19" s="30"/>
      <c r="HQ19" s="30"/>
      <c r="HR19" s="30"/>
      <c r="HS19" s="30"/>
      <c r="HT19" s="30"/>
      <c r="HU19" s="30"/>
      <c r="HV19" s="30"/>
      <c r="HW19" s="30"/>
      <c r="HX19" s="30"/>
      <c r="HY19" s="30"/>
      <c r="HZ19" s="30"/>
      <c r="IA19" s="30"/>
      <c r="IB19" s="30"/>
      <c r="IC19" s="30"/>
      <c r="ID19" s="30"/>
      <c r="IE19" s="30"/>
      <c r="IF19" s="30"/>
      <c r="IG19" s="30"/>
      <c r="IH19" s="30"/>
      <c r="II19" s="30"/>
      <c r="IJ19" s="30"/>
      <c r="IK19" s="30"/>
      <c r="IL19" s="30"/>
      <c r="IM19" s="30"/>
      <c r="IN19" s="30"/>
      <c r="IO19" s="30"/>
      <c r="IP19" s="30"/>
      <c r="IQ19" s="30"/>
      <c r="IR19" s="30"/>
      <c r="IS19" s="30"/>
      <c r="IT19" s="30"/>
      <c r="IU19" s="30"/>
    </row>
    <row r="20" s="3" customFormat="1" customHeight="1" spans="1:255">
      <c r="A20" s="22">
        <v>18</v>
      </c>
      <c r="B20" s="23" t="s">
        <v>102</v>
      </c>
      <c r="C20" s="23" t="s">
        <v>103</v>
      </c>
      <c r="D20" s="167" t="s">
        <v>104</v>
      </c>
      <c r="E20" s="24">
        <v>19921016</v>
      </c>
      <c r="F20" s="23" t="str">
        <f t="shared" si="0"/>
        <v>男</v>
      </c>
      <c r="G20" s="22">
        <f ca="1" t="shared" si="1"/>
        <v>34</v>
      </c>
      <c r="H20" s="25">
        <v>18071657610</v>
      </c>
      <c r="I20" s="26">
        <v>43594</v>
      </c>
      <c r="J20" s="26"/>
      <c r="K20" s="23" t="s">
        <v>23</v>
      </c>
      <c r="L20" s="23" t="s">
        <v>66</v>
      </c>
      <c r="M20" s="23" t="str">
        <f ca="1" t="shared" si="2"/>
        <v>6年11个月</v>
      </c>
      <c r="N20" s="23" t="s">
        <v>25</v>
      </c>
      <c r="O20" s="27"/>
      <c r="P20" s="23" t="s">
        <v>26</v>
      </c>
      <c r="Q20" s="28" t="s">
        <v>27</v>
      </c>
      <c r="R20" s="29" t="s">
        <v>36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  <c r="FN20" s="30"/>
      <c r="FO20" s="30"/>
      <c r="FP20" s="30"/>
      <c r="FQ20" s="30"/>
      <c r="FR20" s="30"/>
      <c r="FS20" s="30"/>
      <c r="FT20" s="30"/>
      <c r="FU20" s="30"/>
      <c r="FV20" s="30"/>
      <c r="FW20" s="30"/>
      <c r="FX20" s="30"/>
      <c r="FY20" s="30"/>
      <c r="FZ20" s="30"/>
      <c r="GA20" s="30"/>
      <c r="GB20" s="30"/>
      <c r="GC20" s="30"/>
      <c r="GD20" s="30"/>
      <c r="GE20" s="30"/>
      <c r="GF20" s="30"/>
      <c r="GG20" s="30"/>
      <c r="GH20" s="30"/>
      <c r="GI20" s="30"/>
      <c r="GJ20" s="30"/>
      <c r="GK20" s="30"/>
      <c r="GL20" s="30"/>
      <c r="GM20" s="30"/>
      <c r="GN20" s="30"/>
      <c r="GO20" s="30"/>
      <c r="GP20" s="30"/>
      <c r="GQ20" s="30"/>
      <c r="GR20" s="30"/>
      <c r="GS20" s="30"/>
      <c r="GT20" s="30"/>
      <c r="GU20" s="30"/>
      <c r="GV20" s="30"/>
      <c r="GW20" s="30"/>
      <c r="GX20" s="30"/>
      <c r="GY20" s="30"/>
      <c r="GZ20" s="30"/>
      <c r="HA20" s="30"/>
      <c r="HB20" s="30"/>
      <c r="HC20" s="30"/>
      <c r="HD20" s="30"/>
      <c r="HE20" s="30"/>
      <c r="HF20" s="30"/>
      <c r="HG20" s="30"/>
      <c r="HH20" s="30"/>
      <c r="HI20" s="30"/>
      <c r="HJ20" s="30"/>
      <c r="HK20" s="30"/>
      <c r="HL20" s="30"/>
      <c r="HM20" s="30"/>
      <c r="HN20" s="30"/>
      <c r="HO20" s="30"/>
      <c r="HP20" s="30"/>
      <c r="HQ20" s="30"/>
      <c r="HR20" s="30"/>
      <c r="HS20" s="30"/>
      <c r="HT20" s="30"/>
      <c r="HU20" s="30"/>
      <c r="HV20" s="30"/>
      <c r="HW20" s="30"/>
      <c r="HX20" s="30"/>
      <c r="HY20" s="30"/>
      <c r="HZ20" s="30"/>
      <c r="IA20" s="30"/>
      <c r="IB20" s="30"/>
      <c r="IC20" s="30"/>
      <c r="ID20" s="30"/>
      <c r="IE20" s="30"/>
      <c r="IF20" s="30"/>
      <c r="IG20" s="30"/>
      <c r="IH20" s="30"/>
      <c r="II20" s="30"/>
      <c r="IJ20" s="30"/>
      <c r="IK20" s="30"/>
      <c r="IL20" s="30"/>
      <c r="IM20" s="30"/>
      <c r="IN20" s="30"/>
      <c r="IO20" s="30"/>
      <c r="IP20" s="30"/>
      <c r="IQ20" s="30"/>
      <c r="IR20" s="30"/>
      <c r="IS20" s="30"/>
      <c r="IT20" s="30"/>
      <c r="IU20" s="30"/>
    </row>
    <row r="21" s="3" customFormat="1" customHeight="1" spans="1:255">
      <c r="A21" s="22">
        <v>19</v>
      </c>
      <c r="B21" s="23" t="s">
        <v>105</v>
      </c>
      <c r="C21" s="23" t="s">
        <v>106</v>
      </c>
      <c r="D21" s="167" t="s">
        <v>107</v>
      </c>
      <c r="E21" s="24">
        <v>19820125</v>
      </c>
      <c r="F21" s="23" t="str">
        <f t="shared" si="0"/>
        <v>女</v>
      </c>
      <c r="G21" s="22">
        <f ca="1" t="shared" si="1"/>
        <v>44</v>
      </c>
      <c r="H21" s="25">
        <v>13651599012</v>
      </c>
      <c r="I21" s="26">
        <v>43780</v>
      </c>
      <c r="J21" s="26"/>
      <c r="K21" s="23" t="s">
        <v>108</v>
      </c>
      <c r="L21" s="23" t="s">
        <v>109</v>
      </c>
      <c r="M21" s="23" t="str">
        <f ca="1" t="shared" si="2"/>
        <v>6年5个月</v>
      </c>
      <c r="N21" s="23" t="s">
        <v>25</v>
      </c>
      <c r="O21" s="27"/>
      <c r="P21" s="23" t="s">
        <v>26</v>
      </c>
      <c r="Q21" s="28" t="s">
        <v>27</v>
      </c>
      <c r="R21" s="29" t="s">
        <v>36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  <c r="EY21" s="30"/>
      <c r="EZ21" s="30"/>
      <c r="FA21" s="30"/>
      <c r="FB21" s="30"/>
      <c r="FC21" s="30"/>
      <c r="FD21" s="30"/>
      <c r="FE21" s="30"/>
      <c r="FF21" s="30"/>
      <c r="FG21" s="30"/>
      <c r="FH21" s="30"/>
      <c r="FI21" s="30"/>
      <c r="FJ21" s="30"/>
      <c r="FK21" s="30"/>
      <c r="FL21" s="30"/>
      <c r="FM21" s="30"/>
      <c r="FN21" s="30"/>
      <c r="FO21" s="30"/>
      <c r="FP21" s="30"/>
      <c r="FQ21" s="30"/>
      <c r="FR21" s="30"/>
      <c r="FS21" s="30"/>
      <c r="FT21" s="30"/>
      <c r="FU21" s="30"/>
      <c r="FV21" s="30"/>
      <c r="FW21" s="30"/>
      <c r="FX21" s="30"/>
      <c r="FY21" s="30"/>
      <c r="FZ21" s="30"/>
      <c r="GA21" s="30"/>
      <c r="GB21" s="30"/>
      <c r="GC21" s="30"/>
      <c r="GD21" s="30"/>
      <c r="GE21" s="30"/>
      <c r="GF21" s="30"/>
      <c r="GG21" s="30"/>
      <c r="GH21" s="30"/>
      <c r="GI21" s="30"/>
      <c r="GJ21" s="30"/>
      <c r="GK21" s="30"/>
      <c r="GL21" s="30"/>
      <c r="GM21" s="30"/>
      <c r="GN21" s="30"/>
      <c r="GO21" s="30"/>
      <c r="GP21" s="30"/>
      <c r="GQ21" s="30"/>
      <c r="GR21" s="30"/>
      <c r="GS21" s="30"/>
      <c r="GT21" s="30"/>
      <c r="GU21" s="30"/>
      <c r="GV21" s="30"/>
      <c r="GW21" s="30"/>
      <c r="GX21" s="30"/>
      <c r="GY21" s="30"/>
      <c r="GZ21" s="30"/>
      <c r="HA21" s="30"/>
      <c r="HB21" s="30"/>
      <c r="HC21" s="30"/>
      <c r="HD21" s="30"/>
      <c r="HE21" s="30"/>
      <c r="HF21" s="30"/>
      <c r="HG21" s="30"/>
      <c r="HH21" s="30"/>
      <c r="HI21" s="30"/>
      <c r="HJ21" s="30"/>
      <c r="HK21" s="30"/>
      <c r="HL21" s="30"/>
      <c r="HM21" s="30"/>
      <c r="HN21" s="30"/>
      <c r="HO21" s="30"/>
      <c r="HP21" s="30"/>
      <c r="HQ21" s="30"/>
      <c r="HR21" s="30"/>
      <c r="HS21" s="30"/>
      <c r="HT21" s="30"/>
      <c r="HU21" s="30"/>
      <c r="HV21" s="30"/>
      <c r="HW21" s="30"/>
      <c r="HX21" s="30"/>
      <c r="HY21" s="30"/>
      <c r="HZ21" s="30"/>
      <c r="IA21" s="30"/>
      <c r="IB21" s="30"/>
      <c r="IC21" s="30"/>
      <c r="ID21" s="30"/>
      <c r="IE21" s="30"/>
      <c r="IF21" s="30"/>
      <c r="IG21" s="30"/>
      <c r="IH21" s="30"/>
      <c r="II21" s="30"/>
      <c r="IJ21" s="30"/>
      <c r="IK21" s="30"/>
      <c r="IL21" s="30"/>
      <c r="IM21" s="30"/>
      <c r="IN21" s="30"/>
      <c r="IO21" s="30"/>
      <c r="IP21" s="30"/>
      <c r="IQ21" s="30"/>
      <c r="IR21" s="30"/>
      <c r="IS21" s="30"/>
      <c r="IT21" s="30"/>
      <c r="IU21" s="30"/>
    </row>
    <row r="22" s="3" customFormat="1" customHeight="1" spans="1:255">
      <c r="A22" s="22">
        <v>20</v>
      </c>
      <c r="B22" s="23" t="s">
        <v>110</v>
      </c>
      <c r="C22" s="23" t="s">
        <v>111</v>
      </c>
      <c r="D22" s="167" t="s">
        <v>112</v>
      </c>
      <c r="E22" s="24">
        <v>19811017</v>
      </c>
      <c r="F22" s="23" t="str">
        <f t="shared" si="0"/>
        <v>男</v>
      </c>
      <c r="G22" s="22">
        <f ca="1" t="shared" si="1"/>
        <v>45</v>
      </c>
      <c r="H22" s="25">
        <v>13770201848</v>
      </c>
      <c r="I22" s="26">
        <v>43787</v>
      </c>
      <c r="J22" s="26"/>
      <c r="K22" s="23" t="s">
        <v>23</v>
      </c>
      <c r="L22" s="23" t="s">
        <v>66</v>
      </c>
      <c r="M22" s="23" t="str">
        <f ca="1" t="shared" si="2"/>
        <v>6年4个月</v>
      </c>
      <c r="N22" s="23" t="s">
        <v>25</v>
      </c>
      <c r="O22" s="27"/>
      <c r="P22" s="23" t="s">
        <v>26</v>
      </c>
      <c r="Q22" s="28" t="s">
        <v>27</v>
      </c>
      <c r="R22" s="29" t="s">
        <v>28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0"/>
      <c r="DU22" s="30"/>
      <c r="DV22" s="30"/>
      <c r="DW22" s="30"/>
      <c r="DX22" s="30"/>
      <c r="DY22" s="30"/>
      <c r="DZ22" s="30"/>
      <c r="EA22" s="30"/>
      <c r="EB22" s="30"/>
      <c r="EC22" s="30"/>
      <c r="ED22" s="30"/>
      <c r="EE22" s="30"/>
      <c r="EF22" s="30"/>
      <c r="EG22" s="30"/>
      <c r="EH22" s="30"/>
      <c r="EI22" s="30"/>
      <c r="EJ22" s="30"/>
      <c r="EK22" s="30"/>
      <c r="EL22" s="30"/>
      <c r="EM22" s="30"/>
      <c r="EN22" s="30"/>
      <c r="EO22" s="30"/>
      <c r="EP22" s="30"/>
      <c r="EQ22" s="30"/>
      <c r="ER22" s="30"/>
      <c r="ES22" s="30"/>
      <c r="ET22" s="30"/>
      <c r="EU22" s="30"/>
      <c r="EV22" s="30"/>
      <c r="EW22" s="30"/>
      <c r="EX22" s="30"/>
      <c r="EY22" s="30"/>
      <c r="EZ22" s="30"/>
      <c r="FA22" s="30"/>
      <c r="FB22" s="30"/>
      <c r="FC22" s="30"/>
      <c r="FD22" s="30"/>
      <c r="FE22" s="30"/>
      <c r="FF22" s="30"/>
      <c r="FG22" s="30"/>
      <c r="FH22" s="30"/>
      <c r="FI22" s="30"/>
      <c r="FJ22" s="30"/>
      <c r="FK22" s="30"/>
      <c r="FL22" s="30"/>
      <c r="FM22" s="30"/>
      <c r="FN22" s="30"/>
      <c r="FO22" s="30"/>
      <c r="FP22" s="30"/>
      <c r="FQ22" s="30"/>
      <c r="FR22" s="30"/>
      <c r="FS22" s="30"/>
      <c r="FT22" s="30"/>
      <c r="FU22" s="30"/>
      <c r="FV22" s="30"/>
      <c r="FW22" s="30"/>
      <c r="FX22" s="30"/>
      <c r="FY22" s="30"/>
      <c r="FZ22" s="30"/>
      <c r="GA22" s="30"/>
      <c r="GB22" s="30"/>
      <c r="GC22" s="30"/>
      <c r="GD22" s="30"/>
      <c r="GE22" s="30"/>
      <c r="GF22" s="30"/>
      <c r="GG22" s="30"/>
      <c r="GH22" s="30"/>
      <c r="GI22" s="30"/>
      <c r="GJ22" s="30"/>
      <c r="GK22" s="30"/>
      <c r="GL22" s="30"/>
      <c r="GM22" s="30"/>
      <c r="GN22" s="30"/>
      <c r="GO22" s="30"/>
      <c r="GP22" s="30"/>
      <c r="GQ22" s="30"/>
      <c r="GR22" s="30"/>
      <c r="GS22" s="30"/>
      <c r="GT22" s="30"/>
      <c r="GU22" s="30"/>
      <c r="GV22" s="30"/>
      <c r="GW22" s="30"/>
      <c r="GX22" s="30"/>
      <c r="GY22" s="30"/>
      <c r="GZ22" s="30"/>
      <c r="HA22" s="30"/>
      <c r="HB22" s="30"/>
      <c r="HC22" s="30"/>
      <c r="HD22" s="30"/>
      <c r="HE22" s="30"/>
      <c r="HF22" s="30"/>
      <c r="HG22" s="30"/>
      <c r="HH22" s="30"/>
      <c r="HI22" s="30"/>
      <c r="HJ22" s="30"/>
      <c r="HK22" s="30"/>
      <c r="HL22" s="30"/>
      <c r="HM22" s="30"/>
      <c r="HN22" s="30"/>
      <c r="HO22" s="30"/>
      <c r="HP22" s="30"/>
      <c r="HQ22" s="30"/>
      <c r="HR22" s="30"/>
      <c r="HS22" s="30"/>
      <c r="HT22" s="30"/>
      <c r="HU22" s="30"/>
      <c r="HV22" s="30"/>
      <c r="HW22" s="30"/>
      <c r="HX22" s="30"/>
      <c r="HY22" s="30"/>
      <c r="HZ22" s="30"/>
      <c r="IA22" s="30"/>
      <c r="IB22" s="30"/>
      <c r="IC22" s="30"/>
      <c r="ID22" s="30"/>
      <c r="IE22" s="30"/>
      <c r="IF22" s="30"/>
      <c r="IG22" s="30"/>
      <c r="IH22" s="30"/>
      <c r="II22" s="30"/>
      <c r="IJ22" s="30"/>
      <c r="IK22" s="30"/>
      <c r="IL22" s="30"/>
      <c r="IM22" s="30"/>
      <c r="IN22" s="30"/>
      <c r="IO22" s="30"/>
      <c r="IP22" s="30"/>
      <c r="IQ22" s="30"/>
      <c r="IR22" s="30"/>
      <c r="IS22" s="30"/>
      <c r="IT22" s="30"/>
      <c r="IU22" s="30"/>
    </row>
    <row r="23" s="3" customFormat="1" customHeight="1" spans="1:255">
      <c r="A23" s="22">
        <v>21</v>
      </c>
      <c r="B23" s="23" t="s">
        <v>113</v>
      </c>
      <c r="C23" s="23" t="s">
        <v>114</v>
      </c>
      <c r="D23" s="167" t="s">
        <v>115</v>
      </c>
      <c r="E23" s="24">
        <v>19911014</v>
      </c>
      <c r="F23" s="23" t="str">
        <f t="shared" si="0"/>
        <v>男</v>
      </c>
      <c r="G23" s="22">
        <f ca="1" t="shared" si="1"/>
        <v>35</v>
      </c>
      <c r="H23" s="25">
        <v>13851145236</v>
      </c>
      <c r="I23" s="26">
        <v>43812</v>
      </c>
      <c r="J23" s="26"/>
      <c r="K23" s="23" t="s">
        <v>23</v>
      </c>
      <c r="L23" s="23" t="s">
        <v>66</v>
      </c>
      <c r="M23" s="23" t="str">
        <f ca="1" t="shared" si="2"/>
        <v>6年4个月</v>
      </c>
      <c r="N23" s="23" t="s">
        <v>25</v>
      </c>
      <c r="O23" s="27"/>
      <c r="P23" s="23" t="s">
        <v>26</v>
      </c>
      <c r="Q23" s="28" t="s">
        <v>27</v>
      </c>
      <c r="R23" s="29" t="s">
        <v>46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  <c r="DU23" s="30"/>
      <c r="DV23" s="30"/>
      <c r="DW23" s="30"/>
      <c r="DX23" s="30"/>
      <c r="DY23" s="30"/>
      <c r="DZ23" s="30"/>
      <c r="EA23" s="30"/>
      <c r="EB23" s="30"/>
      <c r="EC23" s="30"/>
      <c r="ED23" s="30"/>
      <c r="EE23" s="30"/>
      <c r="EF23" s="30"/>
      <c r="EG23" s="30"/>
      <c r="EH23" s="30"/>
      <c r="EI23" s="30"/>
      <c r="EJ23" s="30"/>
      <c r="EK23" s="30"/>
      <c r="EL23" s="30"/>
      <c r="EM23" s="30"/>
      <c r="EN23" s="30"/>
      <c r="EO23" s="30"/>
      <c r="EP23" s="30"/>
      <c r="EQ23" s="30"/>
      <c r="ER23" s="30"/>
      <c r="ES23" s="30"/>
      <c r="ET23" s="30"/>
      <c r="EU23" s="30"/>
      <c r="EV23" s="30"/>
      <c r="EW23" s="30"/>
      <c r="EX23" s="30"/>
      <c r="EY23" s="30"/>
      <c r="EZ23" s="30"/>
      <c r="FA23" s="30"/>
      <c r="FB23" s="30"/>
      <c r="FC23" s="30"/>
      <c r="FD23" s="30"/>
      <c r="FE23" s="30"/>
      <c r="FF23" s="30"/>
      <c r="FG23" s="30"/>
      <c r="FH23" s="30"/>
      <c r="FI23" s="30"/>
      <c r="FJ23" s="30"/>
      <c r="FK23" s="30"/>
      <c r="FL23" s="30"/>
      <c r="FM23" s="30"/>
      <c r="FN23" s="30"/>
      <c r="FO23" s="30"/>
      <c r="FP23" s="30"/>
      <c r="FQ23" s="30"/>
      <c r="FR23" s="30"/>
      <c r="FS23" s="30"/>
      <c r="FT23" s="30"/>
      <c r="FU23" s="30"/>
      <c r="FV23" s="30"/>
      <c r="FW23" s="30"/>
      <c r="FX23" s="30"/>
      <c r="FY23" s="30"/>
      <c r="FZ23" s="30"/>
      <c r="GA23" s="30"/>
      <c r="GB23" s="30"/>
      <c r="GC23" s="30"/>
      <c r="GD23" s="30"/>
      <c r="GE23" s="30"/>
      <c r="GF23" s="30"/>
      <c r="GG23" s="30"/>
      <c r="GH23" s="30"/>
      <c r="GI23" s="30"/>
      <c r="GJ23" s="30"/>
      <c r="GK23" s="30"/>
      <c r="GL23" s="30"/>
      <c r="GM23" s="30"/>
      <c r="GN23" s="30"/>
      <c r="GO23" s="30"/>
      <c r="GP23" s="30"/>
      <c r="GQ23" s="30"/>
      <c r="GR23" s="30"/>
      <c r="GS23" s="30"/>
      <c r="GT23" s="30"/>
      <c r="GU23" s="30"/>
      <c r="GV23" s="30"/>
      <c r="GW23" s="30"/>
      <c r="GX23" s="30"/>
      <c r="GY23" s="30"/>
      <c r="GZ23" s="30"/>
      <c r="HA23" s="30"/>
      <c r="HB23" s="30"/>
      <c r="HC23" s="30"/>
      <c r="HD23" s="30"/>
      <c r="HE23" s="30"/>
      <c r="HF23" s="30"/>
      <c r="HG23" s="30"/>
      <c r="HH23" s="30"/>
      <c r="HI23" s="30"/>
      <c r="HJ23" s="30"/>
      <c r="HK23" s="30"/>
      <c r="HL23" s="30"/>
      <c r="HM23" s="30"/>
      <c r="HN23" s="30"/>
      <c r="HO23" s="30"/>
      <c r="HP23" s="30"/>
      <c r="HQ23" s="30"/>
      <c r="HR23" s="30"/>
      <c r="HS23" s="30"/>
      <c r="HT23" s="30"/>
      <c r="HU23" s="30"/>
      <c r="HV23" s="30"/>
      <c r="HW23" s="30"/>
      <c r="HX23" s="30"/>
      <c r="HY23" s="30"/>
      <c r="HZ23" s="30"/>
      <c r="IA23" s="30"/>
      <c r="IB23" s="30"/>
      <c r="IC23" s="30"/>
      <c r="ID23" s="30"/>
      <c r="IE23" s="30"/>
      <c r="IF23" s="30"/>
      <c r="IG23" s="30"/>
      <c r="IH23" s="30"/>
      <c r="II23" s="30"/>
      <c r="IJ23" s="30"/>
      <c r="IK23" s="30"/>
      <c r="IL23" s="30"/>
      <c r="IM23" s="30"/>
      <c r="IN23" s="30"/>
      <c r="IO23" s="30"/>
      <c r="IP23" s="30"/>
      <c r="IQ23" s="30"/>
      <c r="IR23" s="30"/>
      <c r="IS23" s="30"/>
      <c r="IT23" s="30"/>
      <c r="IU23" s="30"/>
    </row>
    <row r="24" s="3" customFormat="1" customHeight="1" spans="1:255">
      <c r="A24" s="22">
        <v>22</v>
      </c>
      <c r="B24" s="23" t="s">
        <v>116</v>
      </c>
      <c r="C24" s="23" t="s">
        <v>117</v>
      </c>
      <c r="D24" s="23" t="s">
        <v>118</v>
      </c>
      <c r="E24" s="24">
        <v>19720120</v>
      </c>
      <c r="F24" s="23" t="str">
        <f t="shared" si="0"/>
        <v>女</v>
      </c>
      <c r="G24" s="22">
        <f ca="1" t="shared" si="1"/>
        <v>54</v>
      </c>
      <c r="H24" s="25">
        <v>13815558027</v>
      </c>
      <c r="I24" s="26">
        <v>43874</v>
      </c>
      <c r="J24" s="26"/>
      <c r="K24" s="23" t="s">
        <v>70</v>
      </c>
      <c r="L24" s="23" t="s">
        <v>92</v>
      </c>
      <c r="M24" s="23" t="str">
        <f ca="1" t="shared" si="2"/>
        <v>6年2个月</v>
      </c>
      <c r="N24" s="23" t="s">
        <v>25</v>
      </c>
      <c r="O24" s="27"/>
      <c r="P24" s="23" t="s">
        <v>26</v>
      </c>
      <c r="Q24" s="32" t="s">
        <v>119</v>
      </c>
      <c r="R24" s="29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0"/>
      <c r="DU24" s="30"/>
      <c r="DV24" s="30"/>
      <c r="DW24" s="30"/>
      <c r="DX24" s="30"/>
      <c r="DY24" s="30"/>
      <c r="DZ24" s="30"/>
      <c r="EA24" s="30"/>
      <c r="EB24" s="30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0"/>
      <c r="ES24" s="30"/>
      <c r="ET24" s="30"/>
      <c r="EU24" s="30"/>
      <c r="EV24" s="30"/>
      <c r="EW24" s="30"/>
      <c r="EX24" s="30"/>
      <c r="EY24" s="30"/>
      <c r="EZ24" s="30"/>
      <c r="FA24" s="30"/>
      <c r="FB24" s="30"/>
      <c r="FC24" s="30"/>
      <c r="FD24" s="30"/>
      <c r="FE24" s="30"/>
      <c r="FF24" s="30"/>
      <c r="FG24" s="30"/>
      <c r="FH24" s="30"/>
      <c r="FI24" s="30"/>
      <c r="FJ24" s="30"/>
      <c r="FK24" s="30"/>
      <c r="FL24" s="30"/>
      <c r="FM24" s="30"/>
      <c r="FN24" s="30"/>
      <c r="FO24" s="30"/>
      <c r="FP24" s="30"/>
      <c r="FQ24" s="30"/>
      <c r="FR24" s="30"/>
      <c r="FS24" s="30"/>
      <c r="FT24" s="30"/>
      <c r="FU24" s="30"/>
      <c r="FV24" s="30"/>
      <c r="FW24" s="30"/>
      <c r="FX24" s="30"/>
      <c r="FY24" s="30"/>
      <c r="FZ24" s="30"/>
      <c r="GA24" s="30"/>
      <c r="GB24" s="30"/>
      <c r="GC24" s="30"/>
      <c r="GD24" s="30"/>
      <c r="GE24" s="30"/>
      <c r="GF24" s="30"/>
      <c r="GG24" s="30"/>
      <c r="GH24" s="30"/>
      <c r="GI24" s="30"/>
      <c r="GJ24" s="30"/>
      <c r="GK24" s="30"/>
      <c r="GL24" s="30"/>
      <c r="GM24" s="30"/>
      <c r="GN24" s="30"/>
      <c r="GO24" s="30"/>
      <c r="GP24" s="30"/>
      <c r="GQ24" s="30"/>
      <c r="GR24" s="30"/>
      <c r="GS24" s="30"/>
      <c r="GT24" s="30"/>
      <c r="GU24" s="30"/>
      <c r="GV24" s="30"/>
      <c r="GW24" s="30"/>
      <c r="GX24" s="30"/>
      <c r="GY24" s="30"/>
      <c r="GZ24" s="30"/>
      <c r="HA24" s="30"/>
      <c r="HB24" s="30"/>
      <c r="HC24" s="30"/>
      <c r="HD24" s="30"/>
      <c r="HE24" s="30"/>
      <c r="HF24" s="30"/>
      <c r="HG24" s="30"/>
      <c r="HH24" s="30"/>
      <c r="HI24" s="30"/>
      <c r="HJ24" s="30"/>
      <c r="HK24" s="30"/>
      <c r="HL24" s="30"/>
      <c r="HM24" s="30"/>
      <c r="HN24" s="30"/>
      <c r="HO24" s="30"/>
      <c r="HP24" s="30"/>
      <c r="HQ24" s="30"/>
      <c r="HR24" s="30"/>
      <c r="HS24" s="30"/>
      <c r="HT24" s="30"/>
      <c r="HU24" s="30"/>
      <c r="HV24" s="30"/>
      <c r="HW24" s="30"/>
      <c r="HX24" s="30"/>
      <c r="HY24" s="30"/>
      <c r="HZ24" s="30"/>
      <c r="IA24" s="30"/>
      <c r="IB24" s="30"/>
      <c r="IC24" s="30"/>
      <c r="ID24" s="30"/>
      <c r="IE24" s="30"/>
      <c r="IF24" s="30"/>
      <c r="IG24" s="30"/>
      <c r="IH24" s="30"/>
      <c r="II24" s="30"/>
      <c r="IJ24" s="30"/>
      <c r="IK24" s="30"/>
      <c r="IL24" s="30"/>
      <c r="IM24" s="30"/>
      <c r="IN24" s="30"/>
      <c r="IO24" s="30"/>
      <c r="IP24" s="30"/>
      <c r="IQ24" s="30"/>
      <c r="IR24" s="30"/>
      <c r="IS24" s="30"/>
      <c r="IT24" s="30"/>
      <c r="IU24" s="30"/>
    </row>
    <row r="25" s="4" customFormat="1" customHeight="1" spans="1:255">
      <c r="A25" s="22">
        <v>23</v>
      </c>
      <c r="B25" s="33" t="s">
        <v>120</v>
      </c>
      <c r="C25" s="33" t="s">
        <v>121</v>
      </c>
      <c r="D25" s="168" t="s">
        <v>122</v>
      </c>
      <c r="E25" s="34">
        <v>19661021</v>
      </c>
      <c r="F25" s="33" t="str">
        <f t="shared" si="0"/>
        <v>男</v>
      </c>
      <c r="G25" s="37">
        <f ca="1" t="shared" si="1"/>
        <v>60</v>
      </c>
      <c r="H25" s="38">
        <v>13092114463</v>
      </c>
      <c r="I25" s="39">
        <v>43881</v>
      </c>
      <c r="J25" s="39"/>
      <c r="K25" s="33" t="s">
        <v>70</v>
      </c>
      <c r="L25" s="33" t="s">
        <v>92</v>
      </c>
      <c r="M25" s="33" t="str">
        <f ca="1" t="shared" si="2"/>
        <v>6年1个月</v>
      </c>
      <c r="N25" s="33" t="s">
        <v>25</v>
      </c>
      <c r="O25" s="40"/>
      <c r="P25" s="41">
        <v>44787</v>
      </c>
      <c r="Q25" s="42" t="s">
        <v>119</v>
      </c>
      <c r="R25" s="37"/>
      <c r="S25" s="37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F25" s="9"/>
      <c r="IG25" s="9"/>
      <c r="IH25" s="9"/>
      <c r="II25" s="9"/>
      <c r="IJ25" s="9"/>
      <c r="IK25" s="9"/>
      <c r="IL25" s="9"/>
      <c r="IM25" s="9"/>
      <c r="IN25" s="9"/>
      <c r="IO25" s="9"/>
      <c r="IP25" s="9"/>
      <c r="IQ25" s="9"/>
      <c r="IR25" s="9"/>
      <c r="IS25" s="9"/>
      <c r="IT25" s="9"/>
      <c r="IU25" s="9"/>
    </row>
    <row r="26" s="3" customFormat="1" customHeight="1" spans="1:255">
      <c r="A26" s="22">
        <v>24</v>
      </c>
      <c r="B26" s="23" t="s">
        <v>123</v>
      </c>
      <c r="C26" s="23" t="s">
        <v>124</v>
      </c>
      <c r="D26" s="167" t="s">
        <v>125</v>
      </c>
      <c r="E26" s="24">
        <v>19890416</v>
      </c>
      <c r="F26" s="23" t="str">
        <f t="shared" si="0"/>
        <v>女</v>
      </c>
      <c r="G26" s="22">
        <f ca="1" t="shared" si="1"/>
        <v>37</v>
      </c>
      <c r="H26" s="25">
        <v>15195525969</v>
      </c>
      <c r="I26" s="26">
        <v>43881</v>
      </c>
      <c r="J26" s="26"/>
      <c r="K26" s="23" t="s">
        <v>70</v>
      </c>
      <c r="L26" s="23" t="s">
        <v>92</v>
      </c>
      <c r="M26" s="23" t="str">
        <f ca="1" t="shared" si="2"/>
        <v>6年1个月</v>
      </c>
      <c r="N26" s="23" t="s">
        <v>25</v>
      </c>
      <c r="O26" s="27"/>
      <c r="P26" s="23" t="s">
        <v>26</v>
      </c>
      <c r="Q26" s="32" t="s">
        <v>119</v>
      </c>
      <c r="R26" s="29" t="s">
        <v>52</v>
      </c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P26" s="30"/>
      <c r="DQ26" s="30"/>
      <c r="DR26" s="30"/>
      <c r="DS26" s="30"/>
      <c r="DT26" s="30"/>
      <c r="DU26" s="30"/>
      <c r="DV26" s="30"/>
      <c r="DW26" s="30"/>
      <c r="DX26" s="30"/>
      <c r="DY26" s="30"/>
      <c r="DZ26" s="30"/>
      <c r="EA26" s="30"/>
      <c r="EB26" s="30"/>
      <c r="EC26" s="30"/>
      <c r="ED26" s="30"/>
      <c r="EE26" s="30"/>
      <c r="EF26" s="30"/>
      <c r="EG26" s="30"/>
      <c r="EH26" s="30"/>
      <c r="EI26" s="30"/>
      <c r="EJ26" s="30"/>
      <c r="EK26" s="30"/>
      <c r="EL26" s="30"/>
      <c r="EM26" s="30"/>
      <c r="EN26" s="30"/>
      <c r="EO26" s="30"/>
      <c r="EP26" s="30"/>
      <c r="EQ26" s="30"/>
      <c r="ER26" s="30"/>
      <c r="ES26" s="30"/>
      <c r="ET26" s="30"/>
      <c r="EU26" s="30"/>
      <c r="EV26" s="30"/>
      <c r="EW26" s="30"/>
      <c r="EX26" s="30"/>
      <c r="EY26" s="30"/>
      <c r="EZ26" s="30"/>
      <c r="FA26" s="30"/>
      <c r="FB26" s="30"/>
      <c r="FC26" s="30"/>
      <c r="FD26" s="30"/>
      <c r="FE26" s="30"/>
      <c r="FF26" s="30"/>
      <c r="FG26" s="30"/>
      <c r="FH26" s="30"/>
      <c r="FI26" s="30"/>
      <c r="FJ26" s="30"/>
      <c r="FK26" s="30"/>
      <c r="FL26" s="30"/>
      <c r="FM26" s="30"/>
      <c r="FN26" s="30"/>
      <c r="FO26" s="30"/>
      <c r="FP26" s="30"/>
      <c r="FQ26" s="30"/>
      <c r="FR26" s="30"/>
      <c r="FS26" s="30"/>
      <c r="FT26" s="30"/>
      <c r="FU26" s="30"/>
      <c r="FV26" s="30"/>
      <c r="FW26" s="30"/>
      <c r="FX26" s="30"/>
      <c r="FY26" s="30"/>
      <c r="FZ26" s="30"/>
      <c r="GA26" s="30"/>
      <c r="GB26" s="30"/>
      <c r="GC26" s="30"/>
      <c r="GD26" s="30"/>
      <c r="GE26" s="30"/>
      <c r="GF26" s="30"/>
      <c r="GG26" s="30"/>
      <c r="GH26" s="30"/>
      <c r="GI26" s="30"/>
      <c r="GJ26" s="30"/>
      <c r="GK26" s="30"/>
      <c r="GL26" s="30"/>
      <c r="GM26" s="30"/>
      <c r="GN26" s="30"/>
      <c r="GO26" s="30"/>
      <c r="GP26" s="30"/>
      <c r="GQ26" s="30"/>
      <c r="GR26" s="30"/>
      <c r="GS26" s="30"/>
      <c r="GT26" s="30"/>
      <c r="GU26" s="30"/>
      <c r="GV26" s="30"/>
      <c r="GW26" s="30"/>
      <c r="GX26" s="30"/>
      <c r="GY26" s="30"/>
      <c r="GZ26" s="30"/>
      <c r="HA26" s="30"/>
      <c r="HB26" s="30"/>
      <c r="HC26" s="30"/>
      <c r="HD26" s="30"/>
      <c r="HE26" s="30"/>
      <c r="HF26" s="30"/>
      <c r="HG26" s="30"/>
      <c r="HH26" s="30"/>
      <c r="HI26" s="30"/>
      <c r="HJ26" s="30"/>
      <c r="HK26" s="30"/>
      <c r="HL26" s="30"/>
      <c r="HM26" s="30"/>
      <c r="HN26" s="30"/>
      <c r="HO26" s="30"/>
      <c r="HP26" s="30"/>
      <c r="HQ26" s="30"/>
      <c r="HR26" s="30"/>
      <c r="HS26" s="30"/>
      <c r="HT26" s="30"/>
      <c r="HU26" s="30"/>
      <c r="HV26" s="30"/>
      <c r="HW26" s="30"/>
      <c r="HX26" s="30"/>
      <c r="HY26" s="30"/>
      <c r="HZ26" s="30"/>
      <c r="IA26" s="30"/>
      <c r="IB26" s="30"/>
      <c r="IC26" s="30"/>
      <c r="ID26" s="30"/>
      <c r="IE26" s="30"/>
      <c r="IF26" s="30"/>
      <c r="IG26" s="30"/>
      <c r="IH26" s="30"/>
      <c r="II26" s="30"/>
      <c r="IJ26" s="30"/>
      <c r="IK26" s="30"/>
      <c r="IL26" s="30"/>
      <c r="IM26" s="30"/>
      <c r="IN26" s="30"/>
      <c r="IO26" s="30"/>
      <c r="IP26" s="30"/>
      <c r="IQ26" s="30"/>
      <c r="IR26" s="30"/>
      <c r="IS26" s="30"/>
      <c r="IT26" s="30"/>
      <c r="IU26" s="30"/>
    </row>
    <row r="27" s="3" customFormat="1" customHeight="1" spans="1:255">
      <c r="A27" s="22">
        <v>25</v>
      </c>
      <c r="B27" s="23" t="s">
        <v>126</v>
      </c>
      <c r="C27" s="23" t="s">
        <v>127</v>
      </c>
      <c r="D27" s="167" t="s">
        <v>128</v>
      </c>
      <c r="E27" s="24">
        <v>19850310</v>
      </c>
      <c r="F27" s="23" t="str">
        <f t="shared" si="0"/>
        <v>女</v>
      </c>
      <c r="G27" s="22">
        <f ca="1" t="shared" si="1"/>
        <v>41</v>
      </c>
      <c r="H27" s="25">
        <v>13814395813</v>
      </c>
      <c r="I27" s="26">
        <v>43885</v>
      </c>
      <c r="J27" s="26"/>
      <c r="K27" s="23" t="s">
        <v>129</v>
      </c>
      <c r="L27" s="23" t="s">
        <v>130</v>
      </c>
      <c r="M27" s="23" t="str">
        <f ca="1" t="shared" si="2"/>
        <v>6年1个月</v>
      </c>
      <c r="N27" s="23" t="s">
        <v>25</v>
      </c>
      <c r="O27" s="27"/>
      <c r="P27" s="23" t="s">
        <v>26</v>
      </c>
      <c r="Q27" s="28" t="s">
        <v>27</v>
      </c>
      <c r="R27" s="29" t="s">
        <v>52</v>
      </c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30"/>
      <c r="GX27" s="30"/>
      <c r="GY27" s="30"/>
      <c r="GZ27" s="30"/>
      <c r="HA27" s="30"/>
      <c r="HB27" s="30"/>
      <c r="HC27" s="30"/>
      <c r="HD27" s="30"/>
      <c r="HE27" s="30"/>
      <c r="HF27" s="30"/>
      <c r="HG27" s="30"/>
      <c r="HH27" s="30"/>
      <c r="HI27" s="30"/>
      <c r="HJ27" s="30"/>
      <c r="HK27" s="30"/>
      <c r="HL27" s="30"/>
      <c r="HM27" s="30"/>
      <c r="HN27" s="30"/>
      <c r="HO27" s="30"/>
      <c r="HP27" s="30"/>
      <c r="HQ27" s="30"/>
      <c r="HR27" s="30"/>
      <c r="HS27" s="30"/>
      <c r="HT27" s="30"/>
      <c r="HU27" s="30"/>
      <c r="HV27" s="30"/>
      <c r="HW27" s="30"/>
      <c r="HX27" s="30"/>
      <c r="HY27" s="30"/>
      <c r="HZ27" s="30"/>
      <c r="IA27" s="30"/>
      <c r="IB27" s="30"/>
      <c r="IC27" s="30"/>
      <c r="ID27" s="30"/>
      <c r="IE27" s="30"/>
      <c r="IF27" s="30"/>
      <c r="IG27" s="30"/>
      <c r="IH27" s="30"/>
      <c r="II27" s="30"/>
      <c r="IJ27" s="30"/>
      <c r="IK27" s="30"/>
      <c r="IL27" s="30"/>
      <c r="IM27" s="30"/>
      <c r="IN27" s="30"/>
      <c r="IO27" s="30"/>
      <c r="IP27" s="30"/>
      <c r="IQ27" s="30"/>
      <c r="IR27" s="30"/>
      <c r="IS27" s="30"/>
      <c r="IT27" s="30"/>
      <c r="IU27" s="30"/>
    </row>
    <row r="28" s="4" customFormat="1" customHeight="1" spans="1:255">
      <c r="A28" s="22">
        <v>26</v>
      </c>
      <c r="B28" s="33" t="s">
        <v>131</v>
      </c>
      <c r="C28" s="33" t="s">
        <v>132</v>
      </c>
      <c r="D28" s="168" t="s">
        <v>133</v>
      </c>
      <c r="E28" s="34">
        <v>19701007</v>
      </c>
      <c r="F28" s="33" t="str">
        <f t="shared" si="0"/>
        <v>男</v>
      </c>
      <c r="G28" s="37">
        <f ca="1" t="shared" si="1"/>
        <v>56</v>
      </c>
      <c r="H28" s="38">
        <v>13016539889</v>
      </c>
      <c r="I28" s="39">
        <v>43907</v>
      </c>
      <c r="J28" s="39"/>
      <c r="K28" s="33" t="s">
        <v>70</v>
      </c>
      <c r="L28" s="33" t="s">
        <v>92</v>
      </c>
      <c r="M28" s="33" t="str">
        <f ca="1" t="shared" si="2"/>
        <v>6年0个月</v>
      </c>
      <c r="N28" s="33" t="s">
        <v>25</v>
      </c>
      <c r="O28" s="40"/>
      <c r="P28" s="41">
        <v>44787</v>
      </c>
      <c r="Q28" s="42" t="s">
        <v>119</v>
      </c>
      <c r="R28" s="37"/>
      <c r="S28" s="37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  <c r="IE28" s="9"/>
      <c r="IF28" s="9"/>
      <c r="IG28" s="9"/>
      <c r="IH28" s="9"/>
      <c r="II28" s="9"/>
      <c r="IJ28" s="9"/>
      <c r="IK28" s="9"/>
      <c r="IL28" s="9"/>
      <c r="IM28" s="9"/>
      <c r="IN28" s="9"/>
      <c r="IO28" s="9"/>
      <c r="IP28" s="9"/>
      <c r="IQ28" s="9"/>
      <c r="IR28" s="9"/>
      <c r="IS28" s="9"/>
      <c r="IT28" s="9"/>
      <c r="IU28" s="9"/>
    </row>
    <row r="29" s="3" customFormat="1" customHeight="1" spans="1:255">
      <c r="A29" s="22">
        <v>27</v>
      </c>
      <c r="B29" s="23" t="s">
        <v>134</v>
      </c>
      <c r="C29" s="23" t="s">
        <v>135</v>
      </c>
      <c r="D29" s="167" t="s">
        <v>136</v>
      </c>
      <c r="E29" s="24">
        <v>19900903</v>
      </c>
      <c r="F29" s="23" t="str">
        <f t="shared" si="0"/>
        <v>女</v>
      </c>
      <c r="G29" s="22">
        <f ca="1" t="shared" si="1"/>
        <v>36</v>
      </c>
      <c r="H29" s="25">
        <v>15195158455</v>
      </c>
      <c r="I29" s="26">
        <v>43969</v>
      </c>
      <c r="J29" s="26"/>
      <c r="K29" s="23" t="s">
        <v>137</v>
      </c>
      <c r="L29" s="23" t="s">
        <v>138</v>
      </c>
      <c r="M29" s="23" t="str">
        <f ca="1" t="shared" si="2"/>
        <v>5年10个月</v>
      </c>
      <c r="N29" s="23" t="s">
        <v>25</v>
      </c>
      <c r="O29" s="27"/>
      <c r="P29" s="23" t="s">
        <v>26</v>
      </c>
      <c r="Q29" s="28" t="s">
        <v>27</v>
      </c>
      <c r="R29" s="29" t="s">
        <v>46</v>
      </c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  <c r="DT29" s="30"/>
      <c r="DU29" s="30"/>
      <c r="DV29" s="30"/>
      <c r="DW29" s="30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  <c r="EV29" s="30"/>
      <c r="EW29" s="30"/>
      <c r="EX29" s="30"/>
      <c r="EY29" s="30"/>
      <c r="EZ29" s="30"/>
      <c r="FA29" s="30"/>
      <c r="FB29" s="30"/>
      <c r="FC29" s="30"/>
      <c r="FD29" s="30"/>
      <c r="FE29" s="30"/>
      <c r="FF29" s="30"/>
      <c r="FG29" s="30"/>
      <c r="FH29" s="30"/>
      <c r="FI29" s="30"/>
      <c r="FJ29" s="30"/>
      <c r="FK29" s="30"/>
      <c r="FL29" s="30"/>
      <c r="FM29" s="30"/>
      <c r="FN29" s="30"/>
      <c r="FO29" s="30"/>
      <c r="FP29" s="30"/>
      <c r="FQ29" s="30"/>
      <c r="FR29" s="30"/>
      <c r="FS29" s="30"/>
      <c r="FT29" s="30"/>
      <c r="FU29" s="30"/>
      <c r="FV29" s="30"/>
      <c r="FW29" s="30"/>
      <c r="FX29" s="30"/>
      <c r="FY29" s="30"/>
      <c r="FZ29" s="30"/>
      <c r="GA29" s="30"/>
      <c r="GB29" s="30"/>
      <c r="GC29" s="30"/>
      <c r="GD29" s="30"/>
      <c r="GE29" s="30"/>
      <c r="GF29" s="30"/>
      <c r="GG29" s="30"/>
      <c r="GH29" s="30"/>
      <c r="GI29" s="30"/>
      <c r="GJ29" s="30"/>
      <c r="GK29" s="30"/>
      <c r="GL29" s="30"/>
      <c r="GM29" s="30"/>
      <c r="GN29" s="30"/>
      <c r="GO29" s="30"/>
      <c r="GP29" s="30"/>
      <c r="GQ29" s="30"/>
      <c r="GR29" s="30"/>
      <c r="GS29" s="30"/>
      <c r="GT29" s="30"/>
      <c r="GU29" s="30"/>
      <c r="GV29" s="30"/>
      <c r="GW29" s="30"/>
      <c r="GX29" s="30"/>
      <c r="GY29" s="30"/>
      <c r="GZ29" s="30"/>
      <c r="HA29" s="30"/>
      <c r="HB29" s="30"/>
      <c r="HC29" s="30"/>
      <c r="HD29" s="30"/>
      <c r="HE29" s="30"/>
      <c r="HF29" s="30"/>
      <c r="HG29" s="30"/>
      <c r="HH29" s="30"/>
      <c r="HI29" s="30"/>
      <c r="HJ29" s="30"/>
      <c r="HK29" s="30"/>
      <c r="HL29" s="30"/>
      <c r="HM29" s="30"/>
      <c r="HN29" s="30"/>
      <c r="HO29" s="30"/>
      <c r="HP29" s="30"/>
      <c r="HQ29" s="30"/>
      <c r="HR29" s="30"/>
      <c r="HS29" s="30"/>
      <c r="HT29" s="30"/>
      <c r="HU29" s="30"/>
      <c r="HV29" s="30"/>
      <c r="HW29" s="30"/>
      <c r="HX29" s="30"/>
      <c r="HY29" s="30"/>
      <c r="HZ29" s="30"/>
      <c r="IA29" s="30"/>
      <c r="IB29" s="30"/>
      <c r="IC29" s="30"/>
      <c r="ID29" s="30"/>
      <c r="IE29" s="30"/>
      <c r="IF29" s="30"/>
      <c r="IG29" s="30"/>
      <c r="IH29" s="30"/>
      <c r="II29" s="30"/>
      <c r="IJ29" s="30"/>
      <c r="IK29" s="30"/>
      <c r="IL29" s="30"/>
      <c r="IM29" s="30"/>
      <c r="IN29" s="30"/>
      <c r="IO29" s="30"/>
      <c r="IP29" s="30"/>
      <c r="IQ29" s="30"/>
      <c r="IR29" s="30"/>
      <c r="IS29" s="30"/>
      <c r="IT29" s="30"/>
      <c r="IU29" s="30"/>
    </row>
    <row r="30" s="4" customFormat="1" customHeight="1" spans="1:255">
      <c r="A30" s="22">
        <v>28</v>
      </c>
      <c r="B30" s="33" t="s">
        <v>139</v>
      </c>
      <c r="C30" s="33" t="s">
        <v>140</v>
      </c>
      <c r="D30" s="168" t="s">
        <v>141</v>
      </c>
      <c r="E30" s="34">
        <v>19890910</v>
      </c>
      <c r="F30" s="33" t="str">
        <f t="shared" si="0"/>
        <v>女</v>
      </c>
      <c r="G30" s="37">
        <f ca="1" t="shared" si="1"/>
        <v>37</v>
      </c>
      <c r="H30" s="38">
        <v>15751122228</v>
      </c>
      <c r="I30" s="39">
        <v>44250</v>
      </c>
      <c r="J30" s="39"/>
      <c r="K30" s="33" t="s">
        <v>78</v>
      </c>
      <c r="L30" s="33" t="s">
        <v>84</v>
      </c>
      <c r="M30" s="33" t="str">
        <f ca="1" t="shared" si="2"/>
        <v>5年1个月</v>
      </c>
      <c r="N30" s="33" t="s">
        <v>25</v>
      </c>
      <c r="O30" s="40"/>
      <c r="P30" s="42" t="s">
        <v>93</v>
      </c>
      <c r="Q30" s="42" t="s">
        <v>80</v>
      </c>
      <c r="R30" s="37"/>
      <c r="S30" s="37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G30" s="9"/>
      <c r="IH30" s="9"/>
      <c r="II30" s="9"/>
      <c r="IJ30" s="9"/>
      <c r="IK30" s="9"/>
      <c r="IL30" s="9"/>
      <c r="IM30" s="9"/>
      <c r="IN30" s="9"/>
      <c r="IO30" s="9"/>
      <c r="IP30" s="9"/>
      <c r="IQ30" s="9"/>
      <c r="IR30" s="9"/>
      <c r="IS30" s="9"/>
      <c r="IT30" s="9"/>
      <c r="IU30" s="9"/>
    </row>
    <row r="31" s="3" customFormat="1" customHeight="1" spans="1:255">
      <c r="A31" s="22">
        <v>29</v>
      </c>
      <c r="B31" s="23" t="s">
        <v>142</v>
      </c>
      <c r="C31" s="23" t="s">
        <v>143</v>
      </c>
      <c r="D31" s="167" t="s">
        <v>144</v>
      </c>
      <c r="E31" s="24">
        <v>19891111</v>
      </c>
      <c r="F31" s="23" t="str">
        <f t="shared" si="0"/>
        <v>女</v>
      </c>
      <c r="G31" s="22">
        <f ca="1" t="shared" si="1"/>
        <v>37</v>
      </c>
      <c r="H31" s="25">
        <v>13375263028</v>
      </c>
      <c r="I31" s="26">
        <v>44252</v>
      </c>
      <c r="J31" s="26"/>
      <c r="K31" s="23" t="s">
        <v>145</v>
      </c>
      <c r="L31" s="23" t="s">
        <v>109</v>
      </c>
      <c r="M31" s="23" t="str">
        <f ca="1" t="shared" si="2"/>
        <v>5年1个月</v>
      </c>
      <c r="N31" s="23" t="s">
        <v>25</v>
      </c>
      <c r="O31" s="27"/>
      <c r="P31" s="23" t="s">
        <v>26</v>
      </c>
      <c r="Q31" s="32" t="s">
        <v>80</v>
      </c>
      <c r="R31" s="29" t="s">
        <v>46</v>
      </c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  <c r="DU31" s="30"/>
      <c r="DV31" s="30"/>
      <c r="DW31" s="30"/>
      <c r="DX31" s="30"/>
      <c r="DY31" s="30"/>
      <c r="DZ31" s="30"/>
      <c r="EA31" s="30"/>
      <c r="EB31" s="30"/>
      <c r="EC31" s="30"/>
      <c r="ED31" s="30"/>
      <c r="EE31" s="30"/>
      <c r="EF31" s="30"/>
      <c r="EG31" s="30"/>
      <c r="EH31" s="30"/>
      <c r="EI31" s="30"/>
      <c r="EJ31" s="30"/>
      <c r="EK31" s="30"/>
      <c r="EL31" s="30"/>
      <c r="EM31" s="30"/>
      <c r="EN31" s="30"/>
      <c r="EO31" s="30"/>
      <c r="EP31" s="30"/>
      <c r="EQ31" s="30"/>
      <c r="ER31" s="30"/>
      <c r="ES31" s="30"/>
      <c r="ET31" s="30"/>
      <c r="EU31" s="30"/>
      <c r="EV31" s="30"/>
      <c r="EW31" s="30"/>
      <c r="EX31" s="30"/>
      <c r="EY31" s="30"/>
      <c r="EZ31" s="30"/>
      <c r="FA31" s="30"/>
      <c r="FB31" s="30"/>
      <c r="FC31" s="30"/>
      <c r="FD31" s="30"/>
      <c r="FE31" s="30"/>
      <c r="FF31" s="30"/>
      <c r="FG31" s="30"/>
      <c r="FH31" s="30"/>
      <c r="FI31" s="30"/>
      <c r="FJ31" s="30"/>
      <c r="FK31" s="30"/>
      <c r="FL31" s="30"/>
      <c r="FM31" s="30"/>
      <c r="FN31" s="30"/>
      <c r="FO31" s="30"/>
      <c r="FP31" s="30"/>
      <c r="FQ31" s="30"/>
      <c r="FR31" s="30"/>
      <c r="FS31" s="30"/>
      <c r="FT31" s="30"/>
      <c r="FU31" s="30"/>
      <c r="FV31" s="30"/>
      <c r="FW31" s="30"/>
      <c r="FX31" s="30"/>
      <c r="FY31" s="30"/>
      <c r="FZ31" s="30"/>
      <c r="GA31" s="30"/>
      <c r="GB31" s="30"/>
      <c r="GC31" s="30"/>
      <c r="GD31" s="30"/>
      <c r="GE31" s="30"/>
      <c r="GF31" s="30"/>
      <c r="GG31" s="30"/>
      <c r="GH31" s="30"/>
      <c r="GI31" s="30"/>
      <c r="GJ31" s="30"/>
      <c r="GK31" s="30"/>
      <c r="GL31" s="30"/>
      <c r="GM31" s="30"/>
      <c r="GN31" s="30"/>
      <c r="GO31" s="30"/>
      <c r="GP31" s="30"/>
      <c r="GQ31" s="30"/>
      <c r="GR31" s="30"/>
      <c r="GS31" s="30"/>
      <c r="GT31" s="30"/>
      <c r="GU31" s="30"/>
      <c r="GV31" s="30"/>
      <c r="GW31" s="30"/>
      <c r="GX31" s="30"/>
      <c r="GY31" s="30"/>
      <c r="GZ31" s="30"/>
      <c r="HA31" s="30"/>
      <c r="HB31" s="30"/>
      <c r="HC31" s="30"/>
      <c r="HD31" s="30"/>
      <c r="HE31" s="30"/>
      <c r="HF31" s="30"/>
      <c r="HG31" s="30"/>
      <c r="HH31" s="30"/>
      <c r="HI31" s="30"/>
      <c r="HJ31" s="30"/>
      <c r="HK31" s="30"/>
      <c r="HL31" s="30"/>
      <c r="HM31" s="30"/>
      <c r="HN31" s="30"/>
      <c r="HO31" s="30"/>
      <c r="HP31" s="30"/>
      <c r="HQ31" s="30"/>
      <c r="HR31" s="30"/>
      <c r="HS31" s="30"/>
      <c r="HT31" s="30"/>
      <c r="HU31" s="30"/>
      <c r="HV31" s="30"/>
      <c r="HW31" s="30"/>
      <c r="HX31" s="30"/>
      <c r="HY31" s="30"/>
      <c r="HZ31" s="30"/>
      <c r="IA31" s="30"/>
      <c r="IB31" s="30"/>
      <c r="IC31" s="30"/>
      <c r="ID31" s="30"/>
      <c r="IE31" s="30"/>
      <c r="IF31" s="30"/>
      <c r="IG31" s="30"/>
      <c r="IH31" s="30"/>
      <c r="II31" s="30"/>
      <c r="IJ31" s="30"/>
      <c r="IK31" s="30"/>
      <c r="IL31" s="30"/>
      <c r="IM31" s="30"/>
      <c r="IN31" s="30"/>
      <c r="IO31" s="30"/>
      <c r="IP31" s="30"/>
      <c r="IQ31" s="30"/>
      <c r="IR31" s="30"/>
      <c r="IS31" s="30"/>
      <c r="IT31" s="30"/>
      <c r="IU31" s="30"/>
    </row>
    <row r="32" s="3" customFormat="1" customHeight="1" spans="1:255">
      <c r="A32" s="22">
        <v>30</v>
      </c>
      <c r="B32" s="23" t="s">
        <v>146</v>
      </c>
      <c r="C32" s="23" t="s">
        <v>147</v>
      </c>
      <c r="D32" s="167" t="s">
        <v>148</v>
      </c>
      <c r="E32" s="24">
        <v>19960120</v>
      </c>
      <c r="F32" s="23" t="str">
        <f t="shared" si="0"/>
        <v>女</v>
      </c>
      <c r="G32" s="22">
        <f ca="1" t="shared" si="1"/>
        <v>30</v>
      </c>
      <c r="H32" s="25">
        <v>13605100637</v>
      </c>
      <c r="I32" s="26">
        <v>44254</v>
      </c>
      <c r="J32" s="26"/>
      <c r="K32" s="23" t="s">
        <v>145</v>
      </c>
      <c r="L32" s="23" t="s">
        <v>109</v>
      </c>
      <c r="M32" s="23" t="str">
        <f ca="1" t="shared" si="2"/>
        <v>5年1个月</v>
      </c>
      <c r="N32" s="23" t="s">
        <v>25</v>
      </c>
      <c r="O32" s="27"/>
      <c r="P32" s="23" t="s">
        <v>26</v>
      </c>
      <c r="Q32" s="32" t="s">
        <v>80</v>
      </c>
      <c r="R32" s="29" t="s">
        <v>28</v>
      </c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  <c r="FL32" s="30"/>
      <c r="FM32" s="30"/>
      <c r="FN32" s="30"/>
      <c r="FO32" s="30"/>
      <c r="FP32" s="30"/>
      <c r="FQ32" s="30"/>
      <c r="FR32" s="30"/>
      <c r="FS32" s="30"/>
      <c r="FT32" s="30"/>
      <c r="FU32" s="30"/>
      <c r="FV32" s="30"/>
      <c r="FW32" s="30"/>
      <c r="FX32" s="30"/>
      <c r="FY32" s="30"/>
      <c r="FZ32" s="30"/>
      <c r="GA32" s="30"/>
      <c r="GB32" s="30"/>
      <c r="GC32" s="30"/>
      <c r="GD32" s="30"/>
      <c r="GE32" s="30"/>
      <c r="GF32" s="30"/>
      <c r="GG32" s="30"/>
      <c r="GH32" s="30"/>
      <c r="GI32" s="30"/>
      <c r="GJ32" s="30"/>
      <c r="GK32" s="30"/>
      <c r="GL32" s="30"/>
      <c r="GM32" s="30"/>
      <c r="GN32" s="30"/>
      <c r="GO32" s="30"/>
      <c r="GP32" s="30"/>
      <c r="GQ32" s="30"/>
      <c r="GR32" s="30"/>
      <c r="GS32" s="30"/>
      <c r="GT32" s="30"/>
      <c r="GU32" s="30"/>
      <c r="GV32" s="30"/>
      <c r="GW32" s="30"/>
      <c r="GX32" s="30"/>
      <c r="GY32" s="30"/>
      <c r="GZ32" s="30"/>
      <c r="HA32" s="30"/>
      <c r="HB32" s="30"/>
      <c r="HC32" s="30"/>
      <c r="HD32" s="30"/>
      <c r="HE32" s="30"/>
      <c r="HF32" s="30"/>
      <c r="HG32" s="30"/>
      <c r="HH32" s="30"/>
      <c r="HI32" s="30"/>
      <c r="HJ32" s="30"/>
      <c r="HK32" s="30"/>
      <c r="HL32" s="30"/>
      <c r="HM32" s="30"/>
      <c r="HN32" s="30"/>
      <c r="HO32" s="30"/>
      <c r="HP32" s="30"/>
      <c r="HQ32" s="30"/>
      <c r="HR32" s="30"/>
      <c r="HS32" s="30"/>
      <c r="HT32" s="30"/>
      <c r="HU32" s="30"/>
      <c r="HV32" s="30"/>
      <c r="HW32" s="30"/>
      <c r="HX32" s="30"/>
      <c r="HY32" s="30"/>
      <c r="HZ32" s="30"/>
      <c r="IA32" s="30"/>
      <c r="IB32" s="30"/>
      <c r="IC32" s="30"/>
      <c r="ID32" s="30"/>
      <c r="IE32" s="30"/>
      <c r="IF32" s="30"/>
      <c r="IG32" s="30"/>
      <c r="IH32" s="30"/>
      <c r="II32" s="30"/>
      <c r="IJ32" s="30"/>
      <c r="IK32" s="30"/>
      <c r="IL32" s="30"/>
      <c r="IM32" s="30"/>
      <c r="IN32" s="30"/>
      <c r="IO32" s="30"/>
      <c r="IP32" s="30"/>
      <c r="IQ32" s="30"/>
      <c r="IR32" s="30"/>
      <c r="IS32" s="30"/>
      <c r="IT32" s="30"/>
      <c r="IU32" s="30"/>
    </row>
    <row r="33" s="3" customFormat="1" customHeight="1" spans="1:255">
      <c r="A33" s="22">
        <v>31</v>
      </c>
      <c r="B33" s="23" t="s">
        <v>149</v>
      </c>
      <c r="C33" s="23" t="s">
        <v>150</v>
      </c>
      <c r="D33" s="167" t="s">
        <v>151</v>
      </c>
      <c r="E33" s="24">
        <v>19870617</v>
      </c>
      <c r="F33" s="23" t="str">
        <f t="shared" si="0"/>
        <v>男</v>
      </c>
      <c r="G33" s="22">
        <f ca="1" t="shared" si="1"/>
        <v>39</v>
      </c>
      <c r="H33" s="25">
        <v>13405675145</v>
      </c>
      <c r="I33" s="26">
        <v>44288</v>
      </c>
      <c r="J33" s="26"/>
      <c r="K33" s="23" t="s">
        <v>61</v>
      </c>
      <c r="L33" s="23" t="s">
        <v>152</v>
      </c>
      <c r="M33" s="23" t="str">
        <f ca="1" t="shared" si="2"/>
        <v>5年0个月</v>
      </c>
      <c r="N33" s="23" t="s">
        <v>25</v>
      </c>
      <c r="O33" s="27"/>
      <c r="P33" s="23" t="s">
        <v>26</v>
      </c>
      <c r="Q33" s="32" t="s">
        <v>80</v>
      </c>
      <c r="R33" s="29" t="s">
        <v>36</v>
      </c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30"/>
      <c r="GA33" s="30"/>
      <c r="GB33" s="30"/>
      <c r="GC33" s="30"/>
      <c r="GD33" s="30"/>
      <c r="GE33" s="30"/>
      <c r="GF33" s="30"/>
      <c r="GG33" s="30"/>
      <c r="GH33" s="30"/>
      <c r="GI33" s="30"/>
      <c r="GJ33" s="30"/>
      <c r="GK33" s="30"/>
      <c r="GL33" s="30"/>
      <c r="GM33" s="30"/>
      <c r="GN33" s="30"/>
      <c r="GO33" s="30"/>
      <c r="GP33" s="30"/>
      <c r="GQ33" s="30"/>
      <c r="GR33" s="30"/>
      <c r="GS33" s="30"/>
      <c r="GT33" s="30"/>
      <c r="GU33" s="30"/>
      <c r="GV33" s="30"/>
      <c r="GW33" s="30"/>
      <c r="GX33" s="30"/>
      <c r="GY33" s="30"/>
      <c r="GZ33" s="30"/>
      <c r="HA33" s="30"/>
      <c r="HB33" s="30"/>
      <c r="HC33" s="30"/>
      <c r="HD33" s="30"/>
      <c r="HE33" s="30"/>
      <c r="HF33" s="30"/>
      <c r="HG33" s="30"/>
      <c r="HH33" s="30"/>
      <c r="HI33" s="30"/>
      <c r="HJ33" s="30"/>
      <c r="HK33" s="30"/>
      <c r="HL33" s="30"/>
      <c r="HM33" s="30"/>
      <c r="HN33" s="30"/>
      <c r="HO33" s="30"/>
      <c r="HP33" s="30"/>
      <c r="HQ33" s="30"/>
      <c r="HR33" s="30"/>
      <c r="HS33" s="30"/>
      <c r="HT33" s="30"/>
      <c r="HU33" s="30"/>
      <c r="HV33" s="30"/>
      <c r="HW33" s="30"/>
      <c r="HX33" s="30"/>
      <c r="HY33" s="30"/>
      <c r="HZ33" s="30"/>
      <c r="IA33" s="30"/>
      <c r="IB33" s="30"/>
      <c r="IC33" s="30"/>
      <c r="ID33" s="30"/>
      <c r="IE33" s="30"/>
      <c r="IF33" s="30"/>
      <c r="IG33" s="30"/>
      <c r="IH33" s="30"/>
      <c r="II33" s="30"/>
      <c r="IJ33" s="30"/>
      <c r="IK33" s="30"/>
      <c r="IL33" s="30"/>
      <c r="IM33" s="30"/>
      <c r="IN33" s="30"/>
      <c r="IO33" s="30"/>
      <c r="IP33" s="30"/>
      <c r="IQ33" s="30"/>
      <c r="IR33" s="30"/>
      <c r="IS33" s="30"/>
      <c r="IT33" s="30"/>
      <c r="IU33" s="30"/>
    </row>
    <row r="34" s="3" customFormat="1" customHeight="1" spans="1:255">
      <c r="A34" s="22">
        <v>32</v>
      </c>
      <c r="B34" s="23" t="s">
        <v>153</v>
      </c>
      <c r="C34" s="23" t="s">
        <v>154</v>
      </c>
      <c r="D34" s="167" t="s">
        <v>155</v>
      </c>
      <c r="E34" s="24">
        <v>19680322</v>
      </c>
      <c r="F34" s="23" t="str">
        <f t="shared" si="0"/>
        <v>男</v>
      </c>
      <c r="G34" s="22">
        <f ca="1" t="shared" si="1"/>
        <v>58</v>
      </c>
      <c r="H34" s="25">
        <v>19850753186</v>
      </c>
      <c r="I34" s="26">
        <v>44299</v>
      </c>
      <c r="J34" s="26"/>
      <c r="K34" s="23" t="s">
        <v>137</v>
      </c>
      <c r="L34" s="23" t="s">
        <v>156</v>
      </c>
      <c r="M34" s="23" t="str">
        <f ca="1" t="shared" si="2"/>
        <v>5年0个月</v>
      </c>
      <c r="N34" s="23" t="s">
        <v>25</v>
      </c>
      <c r="O34" s="27"/>
      <c r="P34" s="23" t="s">
        <v>26</v>
      </c>
      <c r="Q34" s="32" t="s">
        <v>80</v>
      </c>
      <c r="R34" s="29" t="s">
        <v>28</v>
      </c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  <c r="GN34" s="30"/>
      <c r="GO34" s="30"/>
      <c r="GP34" s="30"/>
      <c r="GQ34" s="30"/>
      <c r="GR34" s="30"/>
      <c r="GS34" s="30"/>
      <c r="GT34" s="30"/>
      <c r="GU34" s="30"/>
      <c r="GV34" s="30"/>
      <c r="GW34" s="30"/>
      <c r="GX34" s="30"/>
      <c r="GY34" s="30"/>
      <c r="GZ34" s="30"/>
      <c r="HA34" s="30"/>
      <c r="HB34" s="30"/>
      <c r="HC34" s="30"/>
      <c r="HD34" s="30"/>
      <c r="HE34" s="30"/>
      <c r="HF34" s="30"/>
      <c r="HG34" s="30"/>
      <c r="HH34" s="30"/>
      <c r="HI34" s="30"/>
      <c r="HJ34" s="30"/>
      <c r="HK34" s="30"/>
      <c r="HL34" s="30"/>
      <c r="HM34" s="30"/>
      <c r="HN34" s="30"/>
      <c r="HO34" s="30"/>
      <c r="HP34" s="30"/>
      <c r="HQ34" s="30"/>
      <c r="HR34" s="30"/>
      <c r="HS34" s="30"/>
      <c r="HT34" s="30"/>
      <c r="HU34" s="30"/>
      <c r="HV34" s="30"/>
      <c r="HW34" s="30"/>
      <c r="HX34" s="30"/>
      <c r="HY34" s="30"/>
      <c r="HZ34" s="30"/>
      <c r="IA34" s="30"/>
      <c r="IB34" s="30"/>
      <c r="IC34" s="30"/>
      <c r="ID34" s="30"/>
      <c r="IE34" s="30"/>
      <c r="IF34" s="30"/>
      <c r="IG34" s="30"/>
      <c r="IH34" s="30"/>
      <c r="II34" s="30"/>
      <c r="IJ34" s="30"/>
      <c r="IK34" s="30"/>
      <c r="IL34" s="30"/>
      <c r="IM34" s="30"/>
      <c r="IN34" s="30"/>
      <c r="IO34" s="30"/>
      <c r="IP34" s="30"/>
      <c r="IQ34" s="30"/>
      <c r="IR34" s="30"/>
      <c r="IS34" s="30"/>
      <c r="IT34" s="30"/>
      <c r="IU34" s="30"/>
    </row>
    <row r="35" s="3" customFormat="1" customHeight="1" spans="1:255">
      <c r="A35" s="22">
        <v>33</v>
      </c>
      <c r="B35" s="23" t="s">
        <v>157</v>
      </c>
      <c r="C35" s="23" t="s">
        <v>158</v>
      </c>
      <c r="D35" s="23" t="s">
        <v>159</v>
      </c>
      <c r="E35" s="24">
        <v>19900930</v>
      </c>
      <c r="F35" s="23" t="str">
        <f t="shared" si="0"/>
        <v>女</v>
      </c>
      <c r="G35" s="22">
        <f ca="1" t="shared" si="1"/>
        <v>36</v>
      </c>
      <c r="H35" s="25">
        <v>15189374552</v>
      </c>
      <c r="I35" s="26">
        <v>44607</v>
      </c>
      <c r="J35" s="26"/>
      <c r="K35" s="23" t="s">
        <v>129</v>
      </c>
      <c r="L35" s="23" t="s">
        <v>160</v>
      </c>
      <c r="M35" s="23" t="str">
        <f ca="1" t="shared" si="2"/>
        <v>4年1个月</v>
      </c>
      <c r="N35" s="23" t="s">
        <v>25</v>
      </c>
      <c r="O35" s="27"/>
      <c r="P35" s="23" t="s">
        <v>26</v>
      </c>
      <c r="Q35" s="32" t="s">
        <v>80</v>
      </c>
      <c r="R35" s="29" t="s">
        <v>52</v>
      </c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  <c r="FE35" s="30"/>
      <c r="FF35" s="30"/>
      <c r="FG35" s="30"/>
      <c r="FH35" s="30"/>
      <c r="FI35" s="30"/>
      <c r="FJ35" s="30"/>
      <c r="FK35" s="30"/>
      <c r="FL35" s="30"/>
      <c r="FM35" s="30"/>
      <c r="FN35" s="30"/>
      <c r="FO35" s="30"/>
      <c r="FP35" s="30"/>
      <c r="FQ35" s="30"/>
      <c r="FR35" s="30"/>
      <c r="FS35" s="30"/>
      <c r="FT35" s="30"/>
      <c r="FU35" s="30"/>
      <c r="FV35" s="30"/>
      <c r="FW35" s="30"/>
      <c r="FX35" s="30"/>
      <c r="FY35" s="30"/>
      <c r="FZ35" s="30"/>
      <c r="GA35" s="30"/>
      <c r="GB35" s="30"/>
      <c r="GC35" s="30"/>
      <c r="GD35" s="30"/>
      <c r="GE35" s="30"/>
      <c r="GF35" s="30"/>
      <c r="GG35" s="30"/>
      <c r="GH35" s="30"/>
      <c r="GI35" s="30"/>
      <c r="GJ35" s="30"/>
      <c r="GK35" s="30"/>
      <c r="GL35" s="30"/>
      <c r="GM35" s="30"/>
      <c r="GN35" s="30"/>
      <c r="GO35" s="30"/>
      <c r="GP35" s="30"/>
      <c r="GQ35" s="30"/>
      <c r="GR35" s="30"/>
      <c r="GS35" s="30"/>
      <c r="GT35" s="30"/>
      <c r="GU35" s="30"/>
      <c r="GV35" s="30"/>
      <c r="GW35" s="30"/>
      <c r="GX35" s="30"/>
      <c r="GY35" s="30"/>
      <c r="GZ35" s="30"/>
      <c r="HA35" s="30"/>
      <c r="HB35" s="30"/>
      <c r="HC35" s="30"/>
      <c r="HD35" s="30"/>
      <c r="HE35" s="30"/>
      <c r="HF35" s="30"/>
      <c r="HG35" s="30"/>
      <c r="HH35" s="30"/>
      <c r="HI35" s="30"/>
      <c r="HJ35" s="30"/>
      <c r="HK35" s="30"/>
      <c r="HL35" s="30"/>
      <c r="HM35" s="30"/>
      <c r="HN35" s="30"/>
      <c r="HO35" s="30"/>
      <c r="HP35" s="30"/>
      <c r="HQ35" s="30"/>
      <c r="HR35" s="30"/>
      <c r="HS35" s="30"/>
      <c r="HT35" s="30"/>
      <c r="HU35" s="30"/>
      <c r="HV35" s="30"/>
      <c r="HW35" s="30"/>
      <c r="HX35" s="30"/>
      <c r="HY35" s="30"/>
      <c r="HZ35" s="30"/>
      <c r="IA35" s="30"/>
      <c r="IB35" s="30"/>
      <c r="IC35" s="30"/>
      <c r="ID35" s="30"/>
      <c r="IE35" s="30"/>
      <c r="IF35" s="30"/>
      <c r="IG35" s="30"/>
      <c r="IH35" s="30"/>
      <c r="II35" s="30"/>
      <c r="IJ35" s="30"/>
      <c r="IK35" s="30"/>
      <c r="IL35" s="30"/>
      <c r="IM35" s="30"/>
      <c r="IN35" s="30"/>
      <c r="IO35" s="30"/>
      <c r="IP35" s="30"/>
      <c r="IQ35" s="30"/>
      <c r="IR35" s="30"/>
      <c r="IS35" s="30"/>
      <c r="IT35" s="30"/>
      <c r="IU35" s="30"/>
    </row>
    <row r="36" s="3" customFormat="1" customHeight="1" spans="1:255">
      <c r="A36" s="22">
        <v>34</v>
      </c>
      <c r="B36" s="23" t="s">
        <v>161</v>
      </c>
      <c r="C36" s="23" t="s">
        <v>162</v>
      </c>
      <c r="D36" s="23" t="s">
        <v>163</v>
      </c>
      <c r="E36" s="24">
        <v>19850623</v>
      </c>
      <c r="F36" s="23" t="str">
        <f t="shared" si="0"/>
        <v>女</v>
      </c>
      <c r="G36" s="22">
        <f ca="1" t="shared" si="1"/>
        <v>41</v>
      </c>
      <c r="H36" s="25">
        <v>18962022995</v>
      </c>
      <c r="I36" s="26">
        <v>44609</v>
      </c>
      <c r="J36" s="26"/>
      <c r="K36" s="23" t="s">
        <v>108</v>
      </c>
      <c r="L36" s="23" t="s">
        <v>109</v>
      </c>
      <c r="M36" s="23" t="str">
        <f ca="1" t="shared" si="2"/>
        <v>4年1个月</v>
      </c>
      <c r="N36" s="23" t="s">
        <v>25</v>
      </c>
      <c r="O36" s="27"/>
      <c r="P36" s="23" t="s">
        <v>26</v>
      </c>
      <c r="Q36" s="32" t="s">
        <v>80</v>
      </c>
      <c r="R36" s="29" t="s">
        <v>36</v>
      </c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  <c r="FS36" s="30"/>
      <c r="FT36" s="30"/>
      <c r="FU36" s="30"/>
      <c r="FV36" s="30"/>
      <c r="FW36" s="30"/>
      <c r="FX36" s="30"/>
      <c r="FY36" s="30"/>
      <c r="FZ36" s="30"/>
      <c r="GA36" s="30"/>
      <c r="GB36" s="30"/>
      <c r="GC36" s="30"/>
      <c r="GD36" s="30"/>
      <c r="GE36" s="30"/>
      <c r="GF36" s="30"/>
      <c r="GG36" s="30"/>
      <c r="GH36" s="30"/>
      <c r="GI36" s="30"/>
      <c r="GJ36" s="30"/>
      <c r="GK36" s="30"/>
      <c r="GL36" s="30"/>
      <c r="GM36" s="30"/>
      <c r="GN36" s="30"/>
      <c r="GO36" s="30"/>
      <c r="GP36" s="30"/>
      <c r="GQ36" s="30"/>
      <c r="GR36" s="30"/>
      <c r="GS36" s="30"/>
      <c r="GT36" s="30"/>
      <c r="GU36" s="30"/>
      <c r="GV36" s="30"/>
      <c r="GW36" s="30"/>
      <c r="GX36" s="30"/>
      <c r="GY36" s="30"/>
      <c r="GZ36" s="30"/>
      <c r="HA36" s="30"/>
      <c r="HB36" s="30"/>
      <c r="HC36" s="30"/>
      <c r="HD36" s="30"/>
      <c r="HE36" s="30"/>
      <c r="HF36" s="30"/>
      <c r="HG36" s="30"/>
      <c r="HH36" s="30"/>
      <c r="HI36" s="30"/>
      <c r="HJ36" s="30"/>
      <c r="HK36" s="30"/>
      <c r="HL36" s="30"/>
      <c r="HM36" s="30"/>
      <c r="HN36" s="30"/>
      <c r="HO36" s="30"/>
      <c r="HP36" s="30"/>
      <c r="HQ36" s="30"/>
      <c r="HR36" s="30"/>
      <c r="HS36" s="30"/>
      <c r="HT36" s="30"/>
      <c r="HU36" s="30"/>
      <c r="HV36" s="30"/>
      <c r="HW36" s="30"/>
      <c r="HX36" s="30"/>
      <c r="HY36" s="30"/>
      <c r="HZ36" s="30"/>
      <c r="IA36" s="30"/>
      <c r="IB36" s="30"/>
      <c r="IC36" s="30"/>
      <c r="ID36" s="30"/>
      <c r="IE36" s="30"/>
      <c r="IF36" s="30"/>
      <c r="IG36" s="30"/>
      <c r="IH36" s="30"/>
      <c r="II36" s="30"/>
      <c r="IJ36" s="30"/>
      <c r="IK36" s="30"/>
      <c r="IL36" s="30"/>
      <c r="IM36" s="30"/>
      <c r="IN36" s="30"/>
      <c r="IO36" s="30"/>
      <c r="IP36" s="30"/>
      <c r="IQ36" s="30"/>
      <c r="IR36" s="30"/>
      <c r="IS36" s="30"/>
      <c r="IT36" s="30"/>
      <c r="IU36" s="30"/>
    </row>
    <row r="37" s="4" customFormat="1" customHeight="1" spans="1:255">
      <c r="A37" s="22">
        <v>35</v>
      </c>
      <c r="B37" s="33" t="s">
        <v>164</v>
      </c>
      <c r="C37" s="33" t="s">
        <v>165</v>
      </c>
      <c r="D37" s="33" t="s">
        <v>166</v>
      </c>
      <c r="E37" s="34">
        <v>19710620</v>
      </c>
      <c r="F37" s="33" t="str">
        <f t="shared" si="0"/>
        <v>男</v>
      </c>
      <c r="G37" s="37">
        <f ca="1" t="shared" si="1"/>
        <v>55</v>
      </c>
      <c r="H37" s="43" t="s">
        <v>167</v>
      </c>
      <c r="I37" s="39">
        <v>44657</v>
      </c>
      <c r="J37" s="39"/>
      <c r="K37" s="33" t="s">
        <v>70</v>
      </c>
      <c r="L37" s="33" t="s">
        <v>92</v>
      </c>
      <c r="M37" s="33" t="str">
        <f ca="1" t="shared" si="2"/>
        <v>4年0个月</v>
      </c>
      <c r="N37" s="33" t="s">
        <v>25</v>
      </c>
      <c r="O37" s="40"/>
      <c r="P37" s="33" t="s">
        <v>26</v>
      </c>
      <c r="Q37" s="42" t="s">
        <v>80</v>
      </c>
      <c r="R37" s="37"/>
      <c r="S37" s="37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  <c r="HO37" s="9"/>
      <c r="HP37" s="9"/>
      <c r="HQ37" s="9"/>
      <c r="HR37" s="9"/>
      <c r="HS37" s="9"/>
      <c r="HT37" s="9"/>
      <c r="HU37" s="9"/>
      <c r="HV37" s="9"/>
      <c r="HW37" s="9"/>
      <c r="HX37" s="9"/>
      <c r="HY37" s="9"/>
      <c r="HZ37" s="9"/>
      <c r="IA37" s="9"/>
      <c r="IB37" s="9"/>
      <c r="IC37" s="9"/>
      <c r="ID37" s="9"/>
      <c r="IE37" s="9"/>
      <c r="IF37" s="9"/>
      <c r="IG37" s="9"/>
      <c r="IH37" s="9"/>
      <c r="II37" s="9"/>
      <c r="IJ37" s="9"/>
      <c r="IK37" s="9"/>
      <c r="IL37" s="9"/>
      <c r="IM37" s="9"/>
      <c r="IN37" s="9"/>
      <c r="IO37" s="9"/>
      <c r="IP37" s="9"/>
      <c r="IQ37" s="9"/>
      <c r="IR37" s="9"/>
      <c r="IS37" s="9"/>
      <c r="IT37" s="9"/>
      <c r="IU37" s="9"/>
    </row>
    <row r="38" s="3" customFormat="1" customHeight="1" spans="1:255">
      <c r="A38" s="22">
        <v>36</v>
      </c>
      <c r="B38" s="23" t="s">
        <v>168</v>
      </c>
      <c r="C38" s="23" t="s">
        <v>169</v>
      </c>
      <c r="D38" s="23" t="s">
        <v>170</v>
      </c>
      <c r="E38" s="24">
        <v>19920515</v>
      </c>
      <c r="F38" s="23" t="str">
        <f t="shared" si="0"/>
        <v>女</v>
      </c>
      <c r="G38" s="22">
        <f ca="1" t="shared" si="1"/>
        <v>34</v>
      </c>
      <c r="H38" s="36" t="s">
        <v>171</v>
      </c>
      <c r="I38" s="26">
        <v>44669</v>
      </c>
      <c r="J38" s="26"/>
      <c r="K38" s="23" t="s">
        <v>129</v>
      </c>
      <c r="L38" s="23" t="s">
        <v>160</v>
      </c>
      <c r="M38" s="23" t="str">
        <f ca="1" t="shared" si="2"/>
        <v>3年11个月</v>
      </c>
      <c r="N38" s="23" t="s">
        <v>25</v>
      </c>
      <c r="O38" s="27"/>
      <c r="P38" s="23" t="s">
        <v>26</v>
      </c>
      <c r="Q38" s="32" t="s">
        <v>80</v>
      </c>
      <c r="R38" s="29" t="s">
        <v>52</v>
      </c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30"/>
      <c r="FX38" s="30"/>
      <c r="FY38" s="30"/>
      <c r="FZ38" s="30"/>
      <c r="GA38" s="30"/>
      <c r="GB38" s="30"/>
      <c r="GC38" s="30"/>
      <c r="GD38" s="30"/>
      <c r="GE38" s="30"/>
      <c r="GF38" s="30"/>
      <c r="GG38" s="30"/>
      <c r="GH38" s="30"/>
      <c r="GI38" s="30"/>
      <c r="GJ38" s="30"/>
      <c r="GK38" s="30"/>
      <c r="GL38" s="30"/>
      <c r="GM38" s="30"/>
      <c r="GN38" s="30"/>
      <c r="GO38" s="30"/>
      <c r="GP38" s="30"/>
      <c r="GQ38" s="30"/>
      <c r="GR38" s="30"/>
      <c r="GS38" s="30"/>
      <c r="GT38" s="30"/>
      <c r="GU38" s="30"/>
      <c r="GV38" s="30"/>
      <c r="GW38" s="30"/>
      <c r="GX38" s="30"/>
      <c r="GY38" s="30"/>
      <c r="GZ38" s="30"/>
      <c r="HA38" s="30"/>
      <c r="HB38" s="30"/>
      <c r="HC38" s="30"/>
      <c r="HD38" s="30"/>
      <c r="HE38" s="30"/>
      <c r="HF38" s="30"/>
      <c r="HG38" s="30"/>
      <c r="HH38" s="30"/>
      <c r="HI38" s="30"/>
      <c r="HJ38" s="30"/>
      <c r="HK38" s="30"/>
      <c r="HL38" s="30"/>
      <c r="HM38" s="30"/>
      <c r="HN38" s="30"/>
      <c r="HO38" s="30"/>
      <c r="HP38" s="30"/>
      <c r="HQ38" s="30"/>
      <c r="HR38" s="30"/>
      <c r="HS38" s="30"/>
      <c r="HT38" s="30"/>
      <c r="HU38" s="30"/>
      <c r="HV38" s="30"/>
      <c r="HW38" s="30"/>
      <c r="HX38" s="30"/>
      <c r="HY38" s="30"/>
      <c r="HZ38" s="30"/>
      <c r="IA38" s="30"/>
      <c r="IB38" s="30"/>
      <c r="IC38" s="30"/>
      <c r="ID38" s="30"/>
      <c r="IE38" s="30"/>
      <c r="IF38" s="30"/>
      <c r="IG38" s="30"/>
      <c r="IH38" s="30"/>
      <c r="II38" s="30"/>
      <c r="IJ38" s="30"/>
      <c r="IK38" s="30"/>
      <c r="IL38" s="30"/>
      <c r="IM38" s="30"/>
      <c r="IN38" s="30"/>
      <c r="IO38" s="30"/>
      <c r="IP38" s="30"/>
      <c r="IQ38" s="30"/>
      <c r="IR38" s="30"/>
      <c r="IS38" s="30"/>
      <c r="IT38" s="30"/>
      <c r="IU38" s="30"/>
    </row>
    <row r="39" s="3" customFormat="1" customHeight="1" spans="1:255">
      <c r="A39" s="22">
        <v>37</v>
      </c>
      <c r="B39" s="23" t="s">
        <v>172</v>
      </c>
      <c r="C39" s="23" t="s">
        <v>173</v>
      </c>
      <c r="D39" s="167" t="s">
        <v>174</v>
      </c>
      <c r="E39" s="24">
        <v>19890126</v>
      </c>
      <c r="F39" s="23" t="str">
        <f t="shared" si="0"/>
        <v>男</v>
      </c>
      <c r="G39" s="22">
        <f ca="1" t="shared" si="1"/>
        <v>37</v>
      </c>
      <c r="H39" s="36" t="s">
        <v>175</v>
      </c>
      <c r="I39" s="26">
        <v>44685</v>
      </c>
      <c r="J39" s="26"/>
      <c r="K39" s="23" t="s">
        <v>23</v>
      </c>
      <c r="L39" s="23" t="s">
        <v>66</v>
      </c>
      <c r="M39" s="23" t="str">
        <f ca="1" t="shared" si="2"/>
        <v>3年11个月</v>
      </c>
      <c r="N39" s="23" t="s">
        <v>25</v>
      </c>
      <c r="O39" s="27"/>
      <c r="P39" s="35" t="s">
        <v>93</v>
      </c>
      <c r="Q39" s="32" t="s">
        <v>80</v>
      </c>
      <c r="R39" s="29" t="s">
        <v>46</v>
      </c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  <c r="FH39" s="30"/>
      <c r="FI39" s="30"/>
      <c r="FJ39" s="30"/>
      <c r="FK39" s="30"/>
      <c r="FL39" s="30"/>
      <c r="FM39" s="30"/>
      <c r="FN39" s="30"/>
      <c r="FO39" s="30"/>
      <c r="FP39" s="30"/>
      <c r="FQ39" s="30"/>
      <c r="FR39" s="30"/>
      <c r="FS39" s="30"/>
      <c r="FT39" s="30"/>
      <c r="FU39" s="30"/>
      <c r="FV39" s="30"/>
      <c r="FW39" s="30"/>
      <c r="FX39" s="30"/>
      <c r="FY39" s="30"/>
      <c r="FZ39" s="30"/>
      <c r="GA39" s="30"/>
      <c r="GB39" s="30"/>
      <c r="GC39" s="30"/>
      <c r="GD39" s="30"/>
      <c r="GE39" s="30"/>
      <c r="GF39" s="30"/>
      <c r="GG39" s="30"/>
      <c r="GH39" s="30"/>
      <c r="GI39" s="30"/>
      <c r="GJ39" s="30"/>
      <c r="GK39" s="30"/>
      <c r="GL39" s="30"/>
      <c r="GM39" s="30"/>
      <c r="GN39" s="30"/>
      <c r="GO39" s="30"/>
      <c r="GP39" s="30"/>
      <c r="GQ39" s="30"/>
      <c r="GR39" s="30"/>
      <c r="GS39" s="30"/>
      <c r="GT39" s="30"/>
      <c r="GU39" s="30"/>
      <c r="GV39" s="30"/>
      <c r="GW39" s="30"/>
      <c r="GX39" s="30"/>
      <c r="GY39" s="30"/>
      <c r="GZ39" s="30"/>
      <c r="HA39" s="30"/>
      <c r="HB39" s="30"/>
      <c r="HC39" s="30"/>
      <c r="HD39" s="30"/>
      <c r="HE39" s="30"/>
      <c r="HF39" s="30"/>
      <c r="HG39" s="30"/>
      <c r="HH39" s="30"/>
      <c r="HI39" s="30"/>
      <c r="HJ39" s="30"/>
      <c r="HK39" s="30"/>
      <c r="HL39" s="30"/>
      <c r="HM39" s="30"/>
      <c r="HN39" s="30"/>
      <c r="HO39" s="30"/>
      <c r="HP39" s="30"/>
      <c r="HQ39" s="30"/>
      <c r="HR39" s="30"/>
      <c r="HS39" s="30"/>
      <c r="HT39" s="30"/>
      <c r="HU39" s="30"/>
      <c r="HV39" s="30"/>
      <c r="HW39" s="30"/>
      <c r="HX39" s="30"/>
      <c r="HY39" s="30"/>
      <c r="HZ39" s="30"/>
      <c r="IA39" s="30"/>
      <c r="IB39" s="30"/>
      <c r="IC39" s="30"/>
      <c r="ID39" s="30"/>
      <c r="IE39" s="30"/>
      <c r="IF39" s="30"/>
      <c r="IG39" s="30"/>
      <c r="IH39" s="30"/>
      <c r="II39" s="30"/>
      <c r="IJ39" s="30"/>
      <c r="IK39" s="30"/>
      <c r="IL39" s="30"/>
      <c r="IM39" s="30"/>
      <c r="IN39" s="30"/>
      <c r="IO39" s="30"/>
      <c r="IP39" s="30"/>
      <c r="IQ39" s="30"/>
      <c r="IR39" s="30"/>
      <c r="IS39" s="30"/>
      <c r="IT39" s="30"/>
      <c r="IU39" s="30"/>
    </row>
    <row r="40" s="3" customFormat="1" customHeight="1" spans="1:255">
      <c r="A40" s="22">
        <v>38</v>
      </c>
      <c r="B40" s="23" t="s">
        <v>176</v>
      </c>
      <c r="C40" s="23" t="s">
        <v>177</v>
      </c>
      <c r="D40" s="167" t="s">
        <v>178</v>
      </c>
      <c r="E40" s="24">
        <v>19811016</v>
      </c>
      <c r="F40" s="23" t="str">
        <f t="shared" si="0"/>
        <v>男</v>
      </c>
      <c r="G40" s="22">
        <f ca="1" t="shared" si="1"/>
        <v>45</v>
      </c>
      <c r="H40" s="36">
        <v>13921852777</v>
      </c>
      <c r="I40" s="26">
        <v>44688</v>
      </c>
      <c r="J40" s="26"/>
      <c r="K40" s="23" t="s">
        <v>23</v>
      </c>
      <c r="L40" s="23" t="s">
        <v>66</v>
      </c>
      <c r="M40" s="23" t="str">
        <f ca="1" t="shared" si="2"/>
        <v>3年11个月</v>
      </c>
      <c r="N40" s="23" t="s">
        <v>25</v>
      </c>
      <c r="O40" s="27"/>
      <c r="P40" s="23" t="s">
        <v>26</v>
      </c>
      <c r="Q40" s="32" t="s">
        <v>80</v>
      </c>
      <c r="R40" s="29" t="s">
        <v>36</v>
      </c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0"/>
      <c r="FI40" s="30"/>
      <c r="FJ40" s="30"/>
      <c r="FK40" s="30"/>
      <c r="FL40" s="30"/>
      <c r="FM40" s="30"/>
      <c r="FN40" s="30"/>
      <c r="FO40" s="30"/>
      <c r="FP40" s="30"/>
      <c r="FQ40" s="30"/>
      <c r="FR40" s="30"/>
      <c r="FS40" s="30"/>
      <c r="FT40" s="30"/>
      <c r="FU40" s="30"/>
      <c r="FV40" s="30"/>
      <c r="FW40" s="30"/>
      <c r="FX40" s="30"/>
      <c r="FY40" s="30"/>
      <c r="FZ40" s="30"/>
      <c r="GA40" s="30"/>
      <c r="GB40" s="30"/>
      <c r="GC40" s="30"/>
      <c r="GD40" s="30"/>
      <c r="GE40" s="30"/>
      <c r="GF40" s="30"/>
      <c r="GG40" s="30"/>
      <c r="GH40" s="30"/>
      <c r="GI40" s="30"/>
      <c r="GJ40" s="30"/>
      <c r="GK40" s="30"/>
      <c r="GL40" s="30"/>
      <c r="GM40" s="30"/>
      <c r="GN40" s="30"/>
      <c r="GO40" s="30"/>
      <c r="GP40" s="30"/>
      <c r="GQ40" s="30"/>
      <c r="GR40" s="30"/>
      <c r="GS40" s="30"/>
      <c r="GT40" s="30"/>
      <c r="GU40" s="30"/>
      <c r="GV40" s="30"/>
      <c r="GW40" s="30"/>
      <c r="GX40" s="30"/>
      <c r="GY40" s="30"/>
      <c r="GZ40" s="30"/>
      <c r="HA40" s="30"/>
      <c r="HB40" s="30"/>
      <c r="HC40" s="30"/>
      <c r="HD40" s="30"/>
      <c r="HE40" s="30"/>
      <c r="HF40" s="30"/>
      <c r="HG40" s="30"/>
      <c r="HH40" s="30"/>
      <c r="HI40" s="30"/>
      <c r="HJ40" s="30"/>
      <c r="HK40" s="30"/>
      <c r="HL40" s="30"/>
      <c r="HM40" s="30"/>
      <c r="HN40" s="30"/>
      <c r="HO40" s="30"/>
      <c r="HP40" s="30"/>
      <c r="HQ40" s="30"/>
      <c r="HR40" s="30"/>
      <c r="HS40" s="30"/>
      <c r="HT40" s="30"/>
      <c r="HU40" s="30"/>
      <c r="HV40" s="30"/>
      <c r="HW40" s="30"/>
      <c r="HX40" s="30"/>
      <c r="HY40" s="30"/>
      <c r="HZ40" s="30"/>
      <c r="IA40" s="30"/>
      <c r="IB40" s="30"/>
      <c r="IC40" s="30"/>
      <c r="ID40" s="30"/>
      <c r="IE40" s="30"/>
      <c r="IF40" s="30"/>
      <c r="IG40" s="30"/>
      <c r="IH40" s="30"/>
      <c r="II40" s="30"/>
      <c r="IJ40" s="30"/>
      <c r="IK40" s="30"/>
      <c r="IL40" s="30"/>
      <c r="IM40" s="30"/>
      <c r="IN40" s="30"/>
      <c r="IO40" s="30"/>
      <c r="IP40" s="30"/>
      <c r="IQ40" s="30"/>
      <c r="IR40" s="30"/>
      <c r="IS40" s="30"/>
      <c r="IT40" s="30"/>
      <c r="IU40" s="30"/>
    </row>
    <row r="41" s="3" customFormat="1" customHeight="1" spans="1:255">
      <c r="A41" s="22">
        <v>39</v>
      </c>
      <c r="B41" s="23" t="s">
        <v>179</v>
      </c>
      <c r="C41" s="23" t="s">
        <v>180</v>
      </c>
      <c r="D41" s="167" t="s">
        <v>181</v>
      </c>
      <c r="E41" s="24">
        <v>19760408</v>
      </c>
      <c r="F41" s="23" t="str">
        <f t="shared" si="0"/>
        <v>男</v>
      </c>
      <c r="G41" s="22">
        <f ca="1" t="shared" si="1"/>
        <v>50</v>
      </c>
      <c r="H41" s="36" t="s">
        <v>182</v>
      </c>
      <c r="I41" s="26">
        <v>44722</v>
      </c>
      <c r="J41" s="26"/>
      <c r="K41" s="23" t="s">
        <v>70</v>
      </c>
      <c r="L41" s="23" t="s">
        <v>92</v>
      </c>
      <c r="M41" s="23" t="str">
        <f ca="1" t="shared" si="2"/>
        <v>3年10个月</v>
      </c>
      <c r="N41" s="23" t="s">
        <v>25</v>
      </c>
      <c r="O41" s="27"/>
      <c r="P41" s="23" t="s">
        <v>26</v>
      </c>
      <c r="Q41" s="32" t="s">
        <v>80</v>
      </c>
      <c r="R41" s="29" t="s">
        <v>52</v>
      </c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  <c r="FK41" s="30"/>
      <c r="FL41" s="30"/>
      <c r="FM41" s="30"/>
      <c r="FN41" s="30"/>
      <c r="FO41" s="30"/>
      <c r="FP41" s="30"/>
      <c r="FQ41" s="30"/>
      <c r="FR41" s="30"/>
      <c r="FS41" s="30"/>
      <c r="FT41" s="30"/>
      <c r="FU41" s="30"/>
      <c r="FV41" s="30"/>
      <c r="FW41" s="30"/>
      <c r="FX41" s="30"/>
      <c r="FY41" s="30"/>
      <c r="FZ41" s="30"/>
      <c r="GA41" s="30"/>
      <c r="GB41" s="30"/>
      <c r="GC41" s="30"/>
      <c r="GD41" s="30"/>
      <c r="GE41" s="30"/>
      <c r="GF41" s="30"/>
      <c r="GG41" s="30"/>
      <c r="GH41" s="30"/>
      <c r="GI41" s="30"/>
      <c r="GJ41" s="30"/>
      <c r="GK41" s="30"/>
      <c r="GL41" s="30"/>
      <c r="GM41" s="30"/>
      <c r="GN41" s="30"/>
      <c r="GO41" s="30"/>
      <c r="GP41" s="30"/>
      <c r="GQ41" s="30"/>
      <c r="GR41" s="30"/>
      <c r="GS41" s="30"/>
      <c r="GT41" s="30"/>
      <c r="GU41" s="30"/>
      <c r="GV41" s="30"/>
      <c r="GW41" s="30"/>
      <c r="GX41" s="30"/>
      <c r="GY41" s="30"/>
      <c r="GZ41" s="30"/>
      <c r="HA41" s="30"/>
      <c r="HB41" s="30"/>
      <c r="HC41" s="30"/>
      <c r="HD41" s="30"/>
      <c r="HE41" s="30"/>
      <c r="HF41" s="30"/>
      <c r="HG41" s="30"/>
      <c r="HH41" s="30"/>
      <c r="HI41" s="30"/>
      <c r="HJ41" s="30"/>
      <c r="HK41" s="30"/>
      <c r="HL41" s="30"/>
      <c r="HM41" s="30"/>
      <c r="HN41" s="30"/>
      <c r="HO41" s="30"/>
      <c r="HP41" s="30"/>
      <c r="HQ41" s="30"/>
      <c r="HR41" s="30"/>
      <c r="HS41" s="30"/>
      <c r="HT41" s="30"/>
      <c r="HU41" s="30"/>
      <c r="HV41" s="30"/>
      <c r="HW41" s="30"/>
      <c r="HX41" s="30"/>
      <c r="HY41" s="30"/>
      <c r="HZ41" s="30"/>
      <c r="IA41" s="30"/>
      <c r="IB41" s="30"/>
      <c r="IC41" s="30"/>
      <c r="ID41" s="30"/>
      <c r="IE41" s="30"/>
      <c r="IF41" s="30"/>
      <c r="IG41" s="30"/>
      <c r="IH41" s="30"/>
      <c r="II41" s="30"/>
      <c r="IJ41" s="30"/>
      <c r="IK41" s="30"/>
      <c r="IL41" s="30"/>
      <c r="IM41" s="30"/>
      <c r="IN41" s="30"/>
      <c r="IO41" s="30"/>
      <c r="IP41" s="30"/>
      <c r="IQ41" s="30"/>
      <c r="IR41" s="30"/>
      <c r="IS41" s="30"/>
      <c r="IT41" s="30"/>
      <c r="IU41" s="30"/>
    </row>
    <row r="42" s="3" customFormat="1" customHeight="1" spans="1:255">
      <c r="A42" s="22">
        <v>40</v>
      </c>
      <c r="B42" s="23" t="s">
        <v>183</v>
      </c>
      <c r="C42" s="23" t="s">
        <v>184</v>
      </c>
      <c r="D42" s="167" t="s">
        <v>185</v>
      </c>
      <c r="E42" s="24">
        <v>19700827</v>
      </c>
      <c r="F42" s="23" t="str">
        <f t="shared" si="0"/>
        <v>女</v>
      </c>
      <c r="G42" s="22">
        <f ca="1" t="shared" si="1"/>
        <v>56</v>
      </c>
      <c r="H42" s="25">
        <v>15151067827</v>
      </c>
      <c r="I42" s="26">
        <v>44807</v>
      </c>
      <c r="J42" s="26"/>
      <c r="K42" s="23" t="s">
        <v>70</v>
      </c>
      <c r="L42" s="23" t="s">
        <v>92</v>
      </c>
      <c r="M42" s="23" t="str">
        <f ca="1" t="shared" si="2"/>
        <v>3年7个月</v>
      </c>
      <c r="N42" s="23" t="s">
        <v>25</v>
      </c>
      <c r="O42" s="27"/>
      <c r="P42" s="23" t="s">
        <v>26</v>
      </c>
      <c r="Q42" s="32" t="s">
        <v>80</v>
      </c>
      <c r="R42" s="29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  <c r="DV42" s="30"/>
      <c r="DW42" s="30"/>
      <c r="DX42" s="30"/>
      <c r="DY42" s="30"/>
      <c r="DZ42" s="30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0"/>
      <c r="ES42" s="30"/>
      <c r="ET42" s="30"/>
      <c r="EU42" s="30"/>
      <c r="EV42" s="30"/>
      <c r="EW42" s="30"/>
      <c r="EX42" s="30"/>
      <c r="EY42" s="30"/>
      <c r="EZ42" s="30"/>
      <c r="FA42" s="30"/>
      <c r="FB42" s="30"/>
      <c r="FC42" s="30"/>
      <c r="FD42" s="30"/>
      <c r="FE42" s="30"/>
      <c r="FF42" s="30"/>
      <c r="FG42" s="30"/>
      <c r="FH42" s="30"/>
      <c r="FI42" s="30"/>
      <c r="FJ42" s="30"/>
      <c r="FK42" s="30"/>
      <c r="FL42" s="30"/>
      <c r="FM42" s="30"/>
      <c r="FN42" s="30"/>
      <c r="FO42" s="30"/>
      <c r="FP42" s="30"/>
      <c r="FQ42" s="30"/>
      <c r="FR42" s="30"/>
      <c r="FS42" s="30"/>
      <c r="FT42" s="30"/>
      <c r="FU42" s="30"/>
      <c r="FV42" s="30"/>
      <c r="FW42" s="30"/>
      <c r="FX42" s="30"/>
      <c r="FY42" s="30"/>
      <c r="FZ42" s="30"/>
      <c r="GA42" s="30"/>
      <c r="GB42" s="30"/>
      <c r="GC42" s="30"/>
      <c r="GD42" s="30"/>
      <c r="GE42" s="30"/>
      <c r="GF42" s="30"/>
      <c r="GG42" s="30"/>
      <c r="GH42" s="30"/>
      <c r="GI42" s="30"/>
      <c r="GJ42" s="30"/>
      <c r="GK42" s="30"/>
      <c r="GL42" s="30"/>
      <c r="GM42" s="30"/>
      <c r="GN42" s="30"/>
      <c r="GO42" s="30"/>
      <c r="GP42" s="30"/>
      <c r="GQ42" s="30"/>
      <c r="GR42" s="30"/>
      <c r="GS42" s="30"/>
      <c r="GT42" s="30"/>
      <c r="GU42" s="30"/>
      <c r="GV42" s="30"/>
      <c r="GW42" s="30"/>
      <c r="GX42" s="30"/>
      <c r="GY42" s="30"/>
      <c r="GZ42" s="30"/>
      <c r="HA42" s="30"/>
      <c r="HB42" s="30"/>
      <c r="HC42" s="30"/>
      <c r="HD42" s="30"/>
      <c r="HE42" s="30"/>
      <c r="HF42" s="30"/>
      <c r="HG42" s="30"/>
      <c r="HH42" s="30"/>
      <c r="HI42" s="30"/>
      <c r="HJ42" s="30"/>
      <c r="HK42" s="30"/>
      <c r="HL42" s="30"/>
      <c r="HM42" s="30"/>
      <c r="HN42" s="30"/>
      <c r="HO42" s="30"/>
      <c r="HP42" s="30"/>
      <c r="HQ42" s="30"/>
      <c r="HR42" s="30"/>
      <c r="HS42" s="30"/>
      <c r="HT42" s="30"/>
      <c r="HU42" s="30"/>
      <c r="HV42" s="30"/>
      <c r="HW42" s="30"/>
      <c r="HX42" s="30"/>
      <c r="HY42" s="30"/>
      <c r="HZ42" s="30"/>
      <c r="IA42" s="30"/>
      <c r="IB42" s="30"/>
      <c r="IC42" s="30"/>
      <c r="ID42" s="30"/>
      <c r="IE42" s="30"/>
      <c r="IF42" s="30"/>
      <c r="IG42" s="30"/>
      <c r="IH42" s="30"/>
      <c r="II42" s="30"/>
      <c r="IJ42" s="30"/>
      <c r="IK42" s="30"/>
      <c r="IL42" s="30"/>
      <c r="IM42" s="30"/>
      <c r="IN42" s="30"/>
      <c r="IO42" s="30"/>
      <c r="IP42" s="30"/>
      <c r="IQ42" s="30"/>
      <c r="IR42" s="30"/>
      <c r="IS42" s="30"/>
      <c r="IT42" s="30"/>
      <c r="IU42" s="30"/>
    </row>
    <row r="43" s="3" customFormat="1" customHeight="1" spans="1:255">
      <c r="A43" s="22">
        <v>41</v>
      </c>
      <c r="B43" s="23" t="s">
        <v>186</v>
      </c>
      <c r="C43" s="23" t="s">
        <v>187</v>
      </c>
      <c r="D43" s="23" t="s">
        <v>188</v>
      </c>
      <c r="E43" s="24">
        <v>19831007</v>
      </c>
      <c r="F43" s="23" t="str">
        <f t="shared" si="0"/>
        <v>女</v>
      </c>
      <c r="G43" s="22">
        <f ca="1" t="shared" si="1"/>
        <v>43</v>
      </c>
      <c r="H43" s="36" t="s">
        <v>189</v>
      </c>
      <c r="I43" s="26">
        <v>44907</v>
      </c>
      <c r="J43" s="26"/>
      <c r="K43" s="23" t="s">
        <v>78</v>
      </c>
      <c r="L43" s="23" t="s">
        <v>84</v>
      </c>
      <c r="M43" s="23" t="str">
        <f ca="1" t="shared" si="2"/>
        <v>3年4个月</v>
      </c>
      <c r="N43" s="23" t="s">
        <v>25</v>
      </c>
      <c r="O43" s="27"/>
      <c r="P43" s="23" t="s">
        <v>26</v>
      </c>
      <c r="Q43" s="32" t="s">
        <v>80</v>
      </c>
      <c r="R43" s="29" t="s">
        <v>36</v>
      </c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  <c r="EY43" s="30"/>
      <c r="EZ43" s="30"/>
      <c r="FA43" s="30"/>
      <c r="FB43" s="30"/>
      <c r="FC43" s="30"/>
      <c r="FD43" s="30"/>
      <c r="FE43" s="30"/>
      <c r="FF43" s="30"/>
      <c r="FG43" s="30"/>
      <c r="FH43" s="30"/>
      <c r="FI43" s="30"/>
      <c r="FJ43" s="30"/>
      <c r="FK43" s="30"/>
      <c r="FL43" s="30"/>
      <c r="FM43" s="30"/>
      <c r="FN43" s="30"/>
      <c r="FO43" s="30"/>
      <c r="FP43" s="30"/>
      <c r="FQ43" s="30"/>
      <c r="FR43" s="30"/>
      <c r="FS43" s="30"/>
      <c r="FT43" s="30"/>
      <c r="FU43" s="30"/>
      <c r="FV43" s="30"/>
      <c r="FW43" s="30"/>
      <c r="FX43" s="30"/>
      <c r="FY43" s="30"/>
      <c r="FZ43" s="30"/>
      <c r="GA43" s="30"/>
      <c r="GB43" s="30"/>
      <c r="GC43" s="30"/>
      <c r="GD43" s="30"/>
      <c r="GE43" s="30"/>
      <c r="GF43" s="30"/>
      <c r="GG43" s="30"/>
      <c r="GH43" s="30"/>
      <c r="GI43" s="30"/>
      <c r="GJ43" s="30"/>
      <c r="GK43" s="30"/>
      <c r="GL43" s="30"/>
      <c r="GM43" s="30"/>
      <c r="GN43" s="30"/>
      <c r="GO43" s="30"/>
      <c r="GP43" s="30"/>
      <c r="GQ43" s="30"/>
      <c r="GR43" s="30"/>
      <c r="GS43" s="30"/>
      <c r="GT43" s="30"/>
      <c r="GU43" s="30"/>
      <c r="GV43" s="30"/>
      <c r="GW43" s="30"/>
      <c r="GX43" s="30"/>
      <c r="GY43" s="30"/>
      <c r="GZ43" s="30"/>
      <c r="HA43" s="30"/>
      <c r="HB43" s="30"/>
      <c r="HC43" s="30"/>
      <c r="HD43" s="30"/>
      <c r="HE43" s="30"/>
      <c r="HF43" s="30"/>
      <c r="HG43" s="30"/>
      <c r="HH43" s="30"/>
      <c r="HI43" s="30"/>
      <c r="HJ43" s="30"/>
      <c r="HK43" s="30"/>
      <c r="HL43" s="30"/>
      <c r="HM43" s="30"/>
      <c r="HN43" s="30"/>
      <c r="HO43" s="30"/>
      <c r="HP43" s="30"/>
      <c r="HQ43" s="30"/>
      <c r="HR43" s="30"/>
      <c r="HS43" s="30"/>
      <c r="HT43" s="30"/>
      <c r="HU43" s="30"/>
      <c r="HV43" s="30"/>
      <c r="HW43" s="30"/>
      <c r="HX43" s="30"/>
      <c r="HY43" s="30"/>
      <c r="HZ43" s="30"/>
      <c r="IA43" s="30"/>
      <c r="IB43" s="30"/>
      <c r="IC43" s="30"/>
      <c r="ID43" s="30"/>
      <c r="IE43" s="30"/>
      <c r="IF43" s="30"/>
      <c r="IG43" s="30"/>
      <c r="IH43" s="30"/>
      <c r="II43" s="30"/>
      <c r="IJ43" s="30"/>
      <c r="IK43" s="30"/>
      <c r="IL43" s="30"/>
      <c r="IM43" s="30"/>
      <c r="IN43" s="30"/>
      <c r="IO43" s="30"/>
      <c r="IP43" s="30"/>
      <c r="IQ43" s="30"/>
      <c r="IR43" s="30"/>
      <c r="IS43" s="30"/>
      <c r="IT43" s="30"/>
      <c r="IU43" s="30"/>
    </row>
    <row r="44" s="3" customFormat="1" customHeight="1" spans="1:255">
      <c r="A44" s="22">
        <v>42</v>
      </c>
      <c r="B44" s="23" t="s">
        <v>190</v>
      </c>
      <c r="C44" s="23" t="s">
        <v>191</v>
      </c>
      <c r="D44" s="167" t="s">
        <v>192</v>
      </c>
      <c r="E44" s="24">
        <v>19890720</v>
      </c>
      <c r="F44" s="23" t="str">
        <f t="shared" si="0"/>
        <v>女</v>
      </c>
      <c r="G44" s="22">
        <f ca="1" t="shared" si="1"/>
        <v>37</v>
      </c>
      <c r="H44" s="36" t="s">
        <v>193</v>
      </c>
      <c r="I44" s="26">
        <v>44932</v>
      </c>
      <c r="J44" s="26"/>
      <c r="K44" s="23" t="s">
        <v>194</v>
      </c>
      <c r="L44" s="23" t="s">
        <v>195</v>
      </c>
      <c r="M44" s="23" t="str">
        <f ca="1" t="shared" si="2"/>
        <v>3年3个月</v>
      </c>
      <c r="N44" s="23" t="s">
        <v>25</v>
      </c>
      <c r="O44" s="27"/>
      <c r="P44" s="23" t="s">
        <v>26</v>
      </c>
      <c r="Q44" s="32" t="s">
        <v>80</v>
      </c>
      <c r="R44" s="29" t="s">
        <v>36</v>
      </c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  <c r="DV44" s="30"/>
      <c r="DW44" s="30"/>
      <c r="DX44" s="30"/>
      <c r="DY44" s="30"/>
      <c r="DZ44" s="30"/>
      <c r="EA44" s="30"/>
      <c r="EB44" s="30"/>
      <c r="EC44" s="30"/>
      <c r="ED44" s="30"/>
      <c r="EE44" s="30"/>
      <c r="EF44" s="30"/>
      <c r="EG44" s="30"/>
      <c r="EH44" s="30"/>
      <c r="EI44" s="30"/>
      <c r="EJ44" s="30"/>
      <c r="EK44" s="30"/>
      <c r="EL44" s="30"/>
      <c r="EM44" s="30"/>
      <c r="EN44" s="30"/>
      <c r="EO44" s="30"/>
      <c r="EP44" s="30"/>
      <c r="EQ44" s="30"/>
      <c r="ER44" s="30"/>
      <c r="ES44" s="30"/>
      <c r="ET44" s="30"/>
      <c r="EU44" s="30"/>
      <c r="EV44" s="30"/>
      <c r="EW44" s="30"/>
      <c r="EX44" s="30"/>
      <c r="EY44" s="30"/>
      <c r="EZ44" s="30"/>
      <c r="FA44" s="30"/>
      <c r="FB44" s="30"/>
      <c r="FC44" s="30"/>
      <c r="FD44" s="30"/>
      <c r="FE44" s="30"/>
      <c r="FF44" s="30"/>
      <c r="FG44" s="30"/>
      <c r="FH44" s="30"/>
      <c r="FI44" s="30"/>
      <c r="FJ44" s="30"/>
      <c r="FK44" s="30"/>
      <c r="FL44" s="30"/>
      <c r="FM44" s="30"/>
      <c r="FN44" s="30"/>
      <c r="FO44" s="30"/>
      <c r="FP44" s="30"/>
      <c r="FQ44" s="30"/>
      <c r="FR44" s="30"/>
      <c r="FS44" s="30"/>
      <c r="FT44" s="30"/>
      <c r="FU44" s="30"/>
      <c r="FV44" s="30"/>
      <c r="FW44" s="30"/>
      <c r="FX44" s="30"/>
      <c r="FY44" s="30"/>
      <c r="FZ44" s="30"/>
      <c r="GA44" s="30"/>
      <c r="GB44" s="30"/>
      <c r="GC44" s="30"/>
      <c r="GD44" s="30"/>
      <c r="GE44" s="30"/>
      <c r="GF44" s="30"/>
      <c r="GG44" s="30"/>
      <c r="GH44" s="30"/>
      <c r="GI44" s="30"/>
      <c r="GJ44" s="30"/>
      <c r="GK44" s="30"/>
      <c r="GL44" s="30"/>
      <c r="GM44" s="30"/>
      <c r="GN44" s="30"/>
      <c r="GO44" s="30"/>
      <c r="GP44" s="30"/>
      <c r="GQ44" s="30"/>
      <c r="GR44" s="30"/>
      <c r="GS44" s="30"/>
      <c r="GT44" s="30"/>
      <c r="GU44" s="30"/>
      <c r="GV44" s="30"/>
      <c r="GW44" s="30"/>
      <c r="GX44" s="30"/>
      <c r="GY44" s="30"/>
      <c r="GZ44" s="30"/>
      <c r="HA44" s="30"/>
      <c r="HB44" s="30"/>
      <c r="HC44" s="30"/>
      <c r="HD44" s="30"/>
      <c r="HE44" s="30"/>
      <c r="HF44" s="30"/>
      <c r="HG44" s="30"/>
      <c r="HH44" s="30"/>
      <c r="HI44" s="30"/>
      <c r="HJ44" s="30"/>
      <c r="HK44" s="30"/>
      <c r="HL44" s="30"/>
      <c r="HM44" s="30"/>
      <c r="HN44" s="30"/>
      <c r="HO44" s="30"/>
      <c r="HP44" s="30"/>
      <c r="HQ44" s="30"/>
      <c r="HR44" s="30"/>
      <c r="HS44" s="30"/>
      <c r="HT44" s="30"/>
      <c r="HU44" s="30"/>
      <c r="HV44" s="30"/>
      <c r="HW44" s="30"/>
      <c r="HX44" s="30"/>
      <c r="HY44" s="30"/>
      <c r="HZ44" s="30"/>
      <c r="IA44" s="30"/>
      <c r="IB44" s="30"/>
      <c r="IC44" s="30"/>
      <c r="ID44" s="30"/>
      <c r="IE44" s="30"/>
      <c r="IF44" s="30"/>
      <c r="IG44" s="30"/>
      <c r="IH44" s="30"/>
      <c r="II44" s="30"/>
      <c r="IJ44" s="30"/>
      <c r="IK44" s="30"/>
      <c r="IL44" s="30"/>
      <c r="IM44" s="30"/>
      <c r="IN44" s="30"/>
      <c r="IO44" s="30"/>
      <c r="IP44" s="30"/>
      <c r="IQ44" s="30"/>
      <c r="IR44" s="30"/>
      <c r="IS44" s="30"/>
      <c r="IT44" s="30"/>
      <c r="IU44" s="30"/>
    </row>
    <row r="45" s="3" customFormat="1" customHeight="1" spans="1:255">
      <c r="A45" s="22">
        <v>43</v>
      </c>
      <c r="B45" s="23" t="s">
        <v>196</v>
      </c>
      <c r="C45" s="33" t="s">
        <v>197</v>
      </c>
      <c r="D45" s="33" t="s">
        <v>198</v>
      </c>
      <c r="E45" s="34">
        <v>19830208</v>
      </c>
      <c r="F45" s="23" t="str">
        <f t="shared" si="0"/>
        <v>女</v>
      </c>
      <c r="G45" s="22">
        <f ca="1" t="shared" si="1"/>
        <v>43</v>
      </c>
      <c r="H45" s="36" t="s">
        <v>199</v>
      </c>
      <c r="I45" s="26">
        <v>44953</v>
      </c>
      <c r="J45" s="26"/>
      <c r="K45" s="23" t="s">
        <v>70</v>
      </c>
      <c r="L45" s="23" t="s">
        <v>92</v>
      </c>
      <c r="M45" s="23" t="str">
        <f ca="1" t="shared" si="2"/>
        <v>3年2个月</v>
      </c>
      <c r="N45" s="23" t="s">
        <v>25</v>
      </c>
      <c r="O45" s="27"/>
      <c r="P45" s="23" t="s">
        <v>26</v>
      </c>
      <c r="Q45" s="32" t="s">
        <v>80</v>
      </c>
      <c r="R45" s="29" t="s">
        <v>52</v>
      </c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0"/>
      <c r="DL45" s="30"/>
      <c r="DM45" s="30"/>
      <c r="DN45" s="30"/>
      <c r="DO45" s="30"/>
      <c r="DP45" s="30"/>
      <c r="DQ45" s="30"/>
      <c r="DR45" s="30"/>
      <c r="DS45" s="30"/>
      <c r="DT45" s="30"/>
      <c r="DU45" s="30"/>
      <c r="DV45" s="30"/>
      <c r="DW45" s="30"/>
      <c r="DX45" s="30"/>
      <c r="DY45" s="30"/>
      <c r="DZ45" s="30"/>
      <c r="EA45" s="30"/>
      <c r="EB45" s="30"/>
      <c r="EC45" s="30"/>
      <c r="ED45" s="30"/>
      <c r="EE45" s="30"/>
      <c r="EF45" s="30"/>
      <c r="EG45" s="30"/>
      <c r="EH45" s="30"/>
      <c r="EI45" s="30"/>
      <c r="EJ45" s="30"/>
      <c r="EK45" s="30"/>
      <c r="EL45" s="30"/>
      <c r="EM45" s="30"/>
      <c r="EN45" s="30"/>
      <c r="EO45" s="30"/>
      <c r="EP45" s="30"/>
      <c r="EQ45" s="30"/>
      <c r="ER45" s="30"/>
      <c r="ES45" s="30"/>
      <c r="ET45" s="30"/>
      <c r="EU45" s="30"/>
      <c r="EV45" s="30"/>
      <c r="EW45" s="30"/>
      <c r="EX45" s="30"/>
      <c r="EY45" s="30"/>
      <c r="EZ45" s="30"/>
      <c r="FA45" s="30"/>
      <c r="FB45" s="30"/>
      <c r="FC45" s="30"/>
      <c r="FD45" s="30"/>
      <c r="FE45" s="30"/>
      <c r="FF45" s="30"/>
      <c r="FG45" s="30"/>
      <c r="FH45" s="30"/>
      <c r="FI45" s="30"/>
      <c r="FJ45" s="30"/>
      <c r="FK45" s="30"/>
      <c r="FL45" s="30"/>
      <c r="FM45" s="30"/>
      <c r="FN45" s="30"/>
      <c r="FO45" s="30"/>
      <c r="FP45" s="30"/>
      <c r="FQ45" s="30"/>
      <c r="FR45" s="30"/>
      <c r="FS45" s="30"/>
      <c r="FT45" s="30"/>
      <c r="FU45" s="30"/>
      <c r="FV45" s="30"/>
      <c r="FW45" s="30"/>
      <c r="FX45" s="30"/>
      <c r="FY45" s="30"/>
      <c r="FZ45" s="30"/>
      <c r="GA45" s="30"/>
      <c r="GB45" s="30"/>
      <c r="GC45" s="30"/>
      <c r="GD45" s="30"/>
      <c r="GE45" s="30"/>
      <c r="GF45" s="30"/>
      <c r="GG45" s="30"/>
      <c r="GH45" s="30"/>
      <c r="GI45" s="30"/>
      <c r="GJ45" s="30"/>
      <c r="GK45" s="30"/>
      <c r="GL45" s="30"/>
      <c r="GM45" s="30"/>
      <c r="GN45" s="30"/>
      <c r="GO45" s="30"/>
      <c r="GP45" s="30"/>
      <c r="GQ45" s="30"/>
      <c r="GR45" s="30"/>
      <c r="GS45" s="30"/>
      <c r="GT45" s="30"/>
      <c r="GU45" s="30"/>
      <c r="GV45" s="30"/>
      <c r="GW45" s="30"/>
      <c r="GX45" s="30"/>
      <c r="GY45" s="30"/>
      <c r="GZ45" s="30"/>
      <c r="HA45" s="30"/>
      <c r="HB45" s="30"/>
      <c r="HC45" s="30"/>
      <c r="HD45" s="30"/>
      <c r="HE45" s="30"/>
      <c r="HF45" s="30"/>
      <c r="HG45" s="30"/>
      <c r="HH45" s="30"/>
      <c r="HI45" s="30"/>
      <c r="HJ45" s="30"/>
      <c r="HK45" s="30"/>
      <c r="HL45" s="30"/>
      <c r="HM45" s="30"/>
      <c r="HN45" s="30"/>
      <c r="HO45" s="30"/>
      <c r="HP45" s="30"/>
      <c r="HQ45" s="30"/>
      <c r="HR45" s="30"/>
      <c r="HS45" s="30"/>
      <c r="HT45" s="30"/>
      <c r="HU45" s="30"/>
      <c r="HV45" s="30"/>
      <c r="HW45" s="30"/>
      <c r="HX45" s="30"/>
      <c r="HY45" s="30"/>
      <c r="HZ45" s="30"/>
      <c r="IA45" s="30"/>
      <c r="IB45" s="30"/>
      <c r="IC45" s="30"/>
      <c r="ID45" s="30"/>
      <c r="IE45" s="30"/>
      <c r="IF45" s="30"/>
      <c r="IG45" s="30"/>
      <c r="IH45" s="30"/>
      <c r="II45" s="30"/>
      <c r="IJ45" s="30"/>
      <c r="IK45" s="30"/>
      <c r="IL45" s="30"/>
      <c r="IM45" s="30"/>
      <c r="IN45" s="30"/>
      <c r="IO45" s="30"/>
      <c r="IP45" s="30"/>
      <c r="IQ45" s="30"/>
      <c r="IR45" s="30"/>
      <c r="IS45" s="30"/>
      <c r="IT45" s="30"/>
      <c r="IU45" s="30"/>
    </row>
    <row r="46" s="3" customFormat="1" customHeight="1" spans="1:255">
      <c r="A46" s="22">
        <v>44</v>
      </c>
      <c r="B46" s="23" t="s">
        <v>200</v>
      </c>
      <c r="C46" s="33" t="s">
        <v>201</v>
      </c>
      <c r="D46" s="168" t="s">
        <v>202</v>
      </c>
      <c r="E46" s="34">
        <v>19810224</v>
      </c>
      <c r="F46" s="23" t="str">
        <f t="shared" si="0"/>
        <v>女</v>
      </c>
      <c r="G46" s="22">
        <f ca="1" t="shared" si="1"/>
        <v>45</v>
      </c>
      <c r="H46" s="36">
        <v>19516522351</v>
      </c>
      <c r="I46" s="26">
        <v>44956</v>
      </c>
      <c r="J46" s="26"/>
      <c r="K46" s="23" t="s">
        <v>70</v>
      </c>
      <c r="L46" s="23" t="s">
        <v>92</v>
      </c>
      <c r="M46" s="23" t="str">
        <f ca="1" t="shared" si="2"/>
        <v>3年2个月</v>
      </c>
      <c r="N46" s="23" t="s">
        <v>25</v>
      </c>
      <c r="O46" s="27"/>
      <c r="P46" s="23" t="s">
        <v>26</v>
      </c>
      <c r="Q46" s="32" t="s">
        <v>80</v>
      </c>
      <c r="R46" s="29" t="s">
        <v>52</v>
      </c>
      <c r="S46" s="29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30"/>
      <c r="DY46" s="30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0"/>
      <c r="EZ46" s="30"/>
      <c r="FA46" s="30"/>
      <c r="FB46" s="30"/>
      <c r="FC46" s="30"/>
      <c r="FD46" s="30"/>
      <c r="FE46" s="30"/>
      <c r="FF46" s="30"/>
      <c r="FG46" s="30"/>
      <c r="FH46" s="30"/>
      <c r="FI46" s="30"/>
      <c r="FJ46" s="30"/>
      <c r="FK46" s="30"/>
      <c r="FL46" s="30"/>
      <c r="FM46" s="30"/>
      <c r="FN46" s="30"/>
      <c r="FO46" s="30"/>
      <c r="FP46" s="30"/>
      <c r="FQ46" s="30"/>
      <c r="FR46" s="30"/>
      <c r="FS46" s="30"/>
      <c r="FT46" s="30"/>
      <c r="FU46" s="30"/>
      <c r="FV46" s="30"/>
      <c r="FW46" s="30"/>
      <c r="FX46" s="30"/>
      <c r="FY46" s="30"/>
      <c r="FZ46" s="30"/>
      <c r="GA46" s="30"/>
      <c r="GB46" s="30"/>
      <c r="GC46" s="30"/>
      <c r="GD46" s="30"/>
      <c r="GE46" s="30"/>
      <c r="GF46" s="30"/>
      <c r="GG46" s="30"/>
      <c r="GH46" s="30"/>
      <c r="GI46" s="30"/>
      <c r="GJ46" s="30"/>
      <c r="GK46" s="30"/>
      <c r="GL46" s="30"/>
      <c r="GM46" s="30"/>
      <c r="GN46" s="30"/>
      <c r="GO46" s="30"/>
      <c r="GP46" s="30"/>
      <c r="GQ46" s="30"/>
      <c r="GR46" s="30"/>
      <c r="GS46" s="30"/>
      <c r="GT46" s="30"/>
      <c r="GU46" s="30"/>
      <c r="GV46" s="30"/>
      <c r="GW46" s="30"/>
      <c r="GX46" s="30"/>
      <c r="GY46" s="30"/>
      <c r="GZ46" s="30"/>
      <c r="HA46" s="30"/>
      <c r="HB46" s="30"/>
      <c r="HC46" s="30"/>
      <c r="HD46" s="30"/>
      <c r="HE46" s="30"/>
      <c r="HF46" s="30"/>
      <c r="HG46" s="30"/>
      <c r="HH46" s="30"/>
      <c r="HI46" s="30"/>
      <c r="HJ46" s="30"/>
      <c r="HK46" s="30"/>
      <c r="HL46" s="30"/>
      <c r="HM46" s="30"/>
      <c r="HN46" s="30"/>
      <c r="HO46" s="30"/>
      <c r="HP46" s="30"/>
      <c r="HQ46" s="30"/>
      <c r="HR46" s="30"/>
      <c r="HS46" s="30"/>
      <c r="HT46" s="30"/>
      <c r="HU46" s="30"/>
      <c r="HV46" s="30"/>
      <c r="HW46" s="30"/>
      <c r="HX46" s="30"/>
      <c r="HY46" s="30"/>
      <c r="HZ46" s="30"/>
      <c r="IA46" s="30"/>
      <c r="IB46" s="30"/>
      <c r="IC46" s="30"/>
      <c r="ID46" s="30"/>
      <c r="IE46" s="30"/>
      <c r="IF46" s="30"/>
      <c r="IG46" s="30"/>
      <c r="IH46" s="30"/>
      <c r="II46" s="30"/>
      <c r="IJ46" s="30"/>
      <c r="IK46" s="30"/>
      <c r="IL46" s="30"/>
      <c r="IM46" s="30"/>
      <c r="IN46" s="30"/>
      <c r="IO46" s="30"/>
      <c r="IP46" s="30"/>
      <c r="IQ46" s="30"/>
      <c r="IR46" s="30"/>
      <c r="IS46" s="30"/>
      <c r="IT46" s="30"/>
      <c r="IU46" s="30"/>
    </row>
    <row r="47" s="5" customFormat="1" customHeight="1" spans="1:255">
      <c r="A47" s="22">
        <v>45</v>
      </c>
      <c r="B47" s="23" t="s">
        <v>203</v>
      </c>
      <c r="C47" s="23" t="s">
        <v>204</v>
      </c>
      <c r="D47" s="167" t="s">
        <v>205</v>
      </c>
      <c r="E47" s="24">
        <v>19821111</v>
      </c>
      <c r="F47" s="23" t="str">
        <f t="shared" si="0"/>
        <v>男</v>
      </c>
      <c r="G47" s="22">
        <f ca="1" t="shared" si="1"/>
        <v>44</v>
      </c>
      <c r="H47" s="36">
        <v>15950687608</v>
      </c>
      <c r="I47" s="26">
        <v>44957</v>
      </c>
      <c r="J47" s="26"/>
      <c r="K47" s="23" t="s">
        <v>23</v>
      </c>
      <c r="L47" s="23" t="s">
        <v>66</v>
      </c>
      <c r="M47" s="23" t="str">
        <f ca="1" t="shared" si="2"/>
        <v>3年2个月</v>
      </c>
      <c r="N47" s="23" t="s">
        <v>25</v>
      </c>
      <c r="O47" s="27"/>
      <c r="P47" s="35" t="s">
        <v>93</v>
      </c>
      <c r="Q47" s="44" t="s">
        <v>80</v>
      </c>
      <c r="R47" s="45"/>
      <c r="S47" s="45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/>
      <c r="BK47" s="46"/>
      <c r="BL47" s="46"/>
      <c r="BM47" s="46"/>
      <c r="BN47" s="46"/>
      <c r="BO47" s="46"/>
      <c r="BP47" s="46"/>
      <c r="BQ47" s="46"/>
      <c r="BR47" s="46"/>
      <c r="BS47" s="46"/>
      <c r="BT47" s="46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4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  <c r="DG47" s="46"/>
      <c r="DH47" s="46"/>
      <c r="DI47" s="46"/>
      <c r="DJ47" s="46"/>
      <c r="DK47" s="46"/>
      <c r="DL47" s="46"/>
      <c r="DM47" s="46"/>
      <c r="DN47" s="46"/>
      <c r="DO47" s="46"/>
      <c r="DP47" s="46"/>
      <c r="DQ47" s="46"/>
      <c r="DR47" s="46"/>
      <c r="DS47" s="46"/>
      <c r="DT47" s="46"/>
      <c r="DU47" s="46"/>
      <c r="DV47" s="46"/>
      <c r="DW47" s="46"/>
      <c r="DX47" s="46"/>
      <c r="DY47" s="46"/>
      <c r="DZ47" s="46"/>
      <c r="EA47" s="46"/>
      <c r="EB47" s="46"/>
      <c r="EC47" s="46"/>
      <c r="ED47" s="46"/>
      <c r="EE47" s="46"/>
      <c r="EF47" s="46"/>
      <c r="EG47" s="46"/>
      <c r="EH47" s="46"/>
      <c r="EI47" s="46"/>
      <c r="EJ47" s="46"/>
      <c r="EK47" s="46"/>
      <c r="EL47" s="46"/>
      <c r="EM47" s="46"/>
      <c r="EN47" s="46"/>
      <c r="EO47" s="46"/>
      <c r="EP47" s="46"/>
      <c r="EQ47" s="46"/>
      <c r="ER47" s="46"/>
      <c r="ES47" s="46"/>
      <c r="ET47" s="46"/>
      <c r="EU47" s="46"/>
      <c r="EV47" s="46"/>
      <c r="EW47" s="46"/>
      <c r="EX47" s="46"/>
      <c r="EY47" s="46"/>
      <c r="EZ47" s="46"/>
      <c r="FA47" s="46"/>
      <c r="FB47" s="46"/>
      <c r="FC47" s="46"/>
      <c r="FD47" s="46"/>
      <c r="FE47" s="46"/>
      <c r="FF47" s="46"/>
      <c r="FG47" s="46"/>
      <c r="FH47" s="46"/>
      <c r="FI47" s="46"/>
      <c r="FJ47" s="46"/>
      <c r="FK47" s="46"/>
      <c r="FL47" s="46"/>
      <c r="FM47" s="46"/>
      <c r="FN47" s="46"/>
      <c r="FO47" s="46"/>
      <c r="FP47" s="46"/>
      <c r="FQ47" s="46"/>
      <c r="FR47" s="46"/>
      <c r="FS47" s="46"/>
      <c r="FT47" s="46"/>
      <c r="FU47" s="46"/>
      <c r="FV47" s="46"/>
      <c r="FW47" s="46"/>
      <c r="FX47" s="46"/>
      <c r="FY47" s="46"/>
      <c r="FZ47" s="46"/>
      <c r="GA47" s="46"/>
      <c r="GB47" s="46"/>
      <c r="GC47" s="46"/>
      <c r="GD47" s="46"/>
      <c r="GE47" s="46"/>
      <c r="GF47" s="46"/>
      <c r="GG47" s="46"/>
      <c r="GH47" s="46"/>
      <c r="GI47" s="46"/>
      <c r="GJ47" s="46"/>
      <c r="GK47" s="46"/>
      <c r="GL47" s="46"/>
      <c r="GM47" s="46"/>
      <c r="GN47" s="46"/>
      <c r="GO47" s="46"/>
      <c r="GP47" s="46"/>
      <c r="GQ47" s="46"/>
      <c r="GR47" s="46"/>
      <c r="GS47" s="46"/>
      <c r="GT47" s="46"/>
      <c r="GU47" s="46"/>
      <c r="GV47" s="46"/>
      <c r="GW47" s="46"/>
      <c r="GX47" s="46"/>
      <c r="GY47" s="46"/>
      <c r="GZ47" s="46"/>
      <c r="HA47" s="46"/>
      <c r="HB47" s="46"/>
      <c r="HC47" s="46"/>
      <c r="HD47" s="46"/>
      <c r="HE47" s="46"/>
      <c r="HF47" s="46"/>
      <c r="HG47" s="46"/>
      <c r="HH47" s="46"/>
      <c r="HI47" s="46"/>
      <c r="HJ47" s="46"/>
      <c r="HK47" s="46"/>
      <c r="HL47" s="46"/>
      <c r="HM47" s="46"/>
      <c r="HN47" s="46"/>
      <c r="HO47" s="46"/>
      <c r="HP47" s="46"/>
      <c r="HQ47" s="46"/>
      <c r="HR47" s="46"/>
      <c r="HS47" s="46"/>
      <c r="HT47" s="46"/>
      <c r="HU47" s="46"/>
      <c r="HV47" s="46"/>
      <c r="HW47" s="46"/>
      <c r="HX47" s="46"/>
      <c r="HY47" s="46"/>
      <c r="HZ47" s="46"/>
      <c r="IA47" s="46"/>
      <c r="IB47" s="46"/>
      <c r="IC47" s="46"/>
      <c r="ID47" s="46"/>
      <c r="IE47" s="46"/>
      <c r="IF47" s="46"/>
      <c r="IG47" s="46"/>
      <c r="IH47" s="46"/>
      <c r="II47" s="46"/>
      <c r="IJ47" s="46"/>
      <c r="IK47" s="46"/>
      <c r="IL47" s="46"/>
      <c r="IM47" s="46"/>
      <c r="IN47" s="46"/>
      <c r="IO47" s="46"/>
      <c r="IP47" s="46"/>
      <c r="IQ47" s="46"/>
      <c r="IR47" s="46"/>
      <c r="IS47" s="46"/>
      <c r="IT47" s="46"/>
      <c r="IU47" s="46"/>
    </row>
    <row r="48" s="3" customFormat="1" customHeight="1" spans="1:255">
      <c r="A48" s="22">
        <v>46</v>
      </c>
      <c r="B48" s="23" t="s">
        <v>206</v>
      </c>
      <c r="C48" s="23" t="s">
        <v>207</v>
      </c>
      <c r="D48" s="23" t="s">
        <v>208</v>
      </c>
      <c r="E48" s="24">
        <v>19871108</v>
      </c>
      <c r="F48" s="23" t="str">
        <f t="shared" si="0"/>
        <v>女</v>
      </c>
      <c r="G48" s="22">
        <f ca="1" t="shared" si="1"/>
        <v>39</v>
      </c>
      <c r="H48" s="36" t="s">
        <v>209</v>
      </c>
      <c r="I48" s="26">
        <v>44971</v>
      </c>
      <c r="J48" s="26"/>
      <c r="K48" s="23" t="s">
        <v>70</v>
      </c>
      <c r="L48" s="23" t="s">
        <v>92</v>
      </c>
      <c r="M48" s="23" t="str">
        <f ca="1" t="shared" si="2"/>
        <v>3年1个月</v>
      </c>
      <c r="N48" s="23" t="s">
        <v>25</v>
      </c>
      <c r="O48" s="27"/>
      <c r="P48" s="23" t="s">
        <v>210</v>
      </c>
      <c r="Q48" s="32" t="s">
        <v>80</v>
      </c>
      <c r="R48" s="29" t="s">
        <v>52</v>
      </c>
      <c r="S48" s="29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  <c r="FT48" s="30"/>
      <c r="FU48" s="30"/>
      <c r="FV48" s="30"/>
      <c r="FW48" s="30"/>
      <c r="FX48" s="30"/>
      <c r="FY48" s="30"/>
      <c r="FZ48" s="30"/>
      <c r="GA48" s="30"/>
      <c r="GB48" s="30"/>
      <c r="GC48" s="30"/>
      <c r="GD48" s="30"/>
      <c r="GE48" s="30"/>
      <c r="GF48" s="30"/>
      <c r="GG48" s="30"/>
      <c r="GH48" s="30"/>
      <c r="GI48" s="30"/>
      <c r="GJ48" s="30"/>
      <c r="GK48" s="30"/>
      <c r="GL48" s="30"/>
      <c r="GM48" s="30"/>
      <c r="GN48" s="30"/>
      <c r="GO48" s="30"/>
      <c r="GP48" s="30"/>
      <c r="GQ48" s="30"/>
      <c r="GR48" s="30"/>
      <c r="GS48" s="30"/>
      <c r="GT48" s="30"/>
      <c r="GU48" s="30"/>
      <c r="GV48" s="30"/>
      <c r="GW48" s="30"/>
      <c r="GX48" s="30"/>
      <c r="GY48" s="30"/>
      <c r="GZ48" s="30"/>
      <c r="HA48" s="30"/>
      <c r="HB48" s="30"/>
      <c r="HC48" s="30"/>
      <c r="HD48" s="30"/>
      <c r="HE48" s="30"/>
      <c r="HF48" s="30"/>
      <c r="HG48" s="30"/>
      <c r="HH48" s="30"/>
      <c r="HI48" s="30"/>
      <c r="HJ48" s="30"/>
      <c r="HK48" s="30"/>
      <c r="HL48" s="30"/>
      <c r="HM48" s="30"/>
      <c r="HN48" s="30"/>
      <c r="HO48" s="30"/>
      <c r="HP48" s="30"/>
      <c r="HQ48" s="30"/>
      <c r="HR48" s="30"/>
      <c r="HS48" s="30"/>
      <c r="HT48" s="30"/>
      <c r="HU48" s="30"/>
      <c r="HV48" s="30"/>
      <c r="HW48" s="30"/>
      <c r="HX48" s="30"/>
      <c r="HY48" s="30"/>
      <c r="HZ48" s="30"/>
      <c r="IA48" s="30"/>
      <c r="IB48" s="30"/>
      <c r="IC48" s="30"/>
      <c r="ID48" s="30"/>
      <c r="IE48" s="30"/>
      <c r="IF48" s="30"/>
      <c r="IG48" s="30"/>
      <c r="IH48" s="30"/>
      <c r="II48" s="30"/>
      <c r="IJ48" s="30"/>
      <c r="IK48" s="30"/>
      <c r="IL48" s="30"/>
      <c r="IM48" s="30"/>
      <c r="IN48" s="30"/>
      <c r="IO48" s="30"/>
      <c r="IP48" s="30"/>
      <c r="IQ48" s="30"/>
      <c r="IR48" s="30"/>
      <c r="IS48" s="30"/>
      <c r="IT48" s="30"/>
      <c r="IU48" s="30"/>
    </row>
    <row r="49" s="4" customFormat="1" customHeight="1" spans="1:255">
      <c r="A49" s="22">
        <v>47</v>
      </c>
      <c r="B49" s="33" t="s">
        <v>211</v>
      </c>
      <c r="C49" s="33" t="s">
        <v>212</v>
      </c>
      <c r="D49" s="168" t="s">
        <v>213</v>
      </c>
      <c r="E49" s="34">
        <v>19860524</v>
      </c>
      <c r="F49" s="33" t="str">
        <f t="shared" si="0"/>
        <v>女</v>
      </c>
      <c r="G49" s="37">
        <f ca="1" t="shared" si="1"/>
        <v>40</v>
      </c>
      <c r="H49" s="38">
        <v>15961900782</v>
      </c>
      <c r="I49" s="39">
        <v>44991</v>
      </c>
      <c r="J49" s="39"/>
      <c r="K49" s="33" t="s">
        <v>50</v>
      </c>
      <c r="L49" s="33" t="s">
        <v>109</v>
      </c>
      <c r="M49" s="33" t="str">
        <f ca="1" t="shared" si="2"/>
        <v>3年1个月</v>
      </c>
      <c r="N49" s="33" t="s">
        <v>25</v>
      </c>
      <c r="O49" s="47"/>
      <c r="P49" s="48" t="s">
        <v>93</v>
      </c>
      <c r="Q49" s="42" t="s">
        <v>80</v>
      </c>
      <c r="R49" s="37"/>
      <c r="S49" s="37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  <c r="GL49" s="9"/>
      <c r="GM49" s="9"/>
      <c r="GN49" s="9"/>
      <c r="GO49" s="9"/>
      <c r="GP49" s="9"/>
      <c r="GQ49" s="9"/>
      <c r="GR49" s="9"/>
      <c r="GS49" s="9"/>
      <c r="GT49" s="9"/>
      <c r="GU49" s="9"/>
      <c r="GV49" s="9"/>
      <c r="GW49" s="9"/>
      <c r="GX49" s="9"/>
      <c r="GY49" s="9"/>
      <c r="GZ49" s="9"/>
      <c r="HA49" s="9"/>
      <c r="HB49" s="9"/>
      <c r="HC49" s="9"/>
      <c r="HD49" s="9"/>
      <c r="HE49" s="9"/>
      <c r="HF49" s="9"/>
      <c r="HG49" s="9"/>
      <c r="HH49" s="9"/>
      <c r="HI49" s="9"/>
      <c r="HJ49" s="9"/>
      <c r="HK49" s="9"/>
      <c r="HL49" s="9"/>
      <c r="HM49" s="9"/>
      <c r="HN49" s="9"/>
      <c r="HO49" s="9"/>
      <c r="HP49" s="9"/>
      <c r="HQ49" s="9"/>
      <c r="HR49" s="9"/>
      <c r="HS49" s="9"/>
      <c r="HT49" s="9"/>
      <c r="HU49" s="9"/>
      <c r="HV49" s="9"/>
      <c r="HW49" s="9"/>
      <c r="HX49" s="9"/>
      <c r="HY49" s="9"/>
      <c r="HZ49" s="9"/>
      <c r="IA49" s="9"/>
      <c r="IB49" s="9"/>
      <c r="IC49" s="9"/>
      <c r="ID49" s="9"/>
      <c r="IE49" s="9"/>
      <c r="IF49" s="9"/>
      <c r="IG49" s="9"/>
      <c r="IH49" s="9"/>
      <c r="II49" s="9"/>
      <c r="IJ49" s="9"/>
      <c r="IK49" s="9"/>
      <c r="IL49" s="9"/>
      <c r="IM49" s="9"/>
      <c r="IN49" s="9"/>
      <c r="IO49" s="9"/>
      <c r="IP49" s="9"/>
      <c r="IQ49" s="9"/>
      <c r="IR49" s="9"/>
      <c r="IS49" s="9"/>
      <c r="IT49" s="9"/>
      <c r="IU49" s="9"/>
    </row>
    <row r="50" s="3" customFormat="1" customHeight="1" spans="1:255">
      <c r="A50" s="22">
        <v>48</v>
      </c>
      <c r="B50" s="23" t="s">
        <v>214</v>
      </c>
      <c r="C50" s="23" t="s">
        <v>215</v>
      </c>
      <c r="D50" s="23" t="s">
        <v>216</v>
      </c>
      <c r="E50" s="24">
        <v>19930810</v>
      </c>
      <c r="F50" s="23" t="str">
        <f t="shared" si="0"/>
        <v>男</v>
      </c>
      <c r="G50" s="22">
        <f ca="1" t="shared" si="1"/>
        <v>33</v>
      </c>
      <c r="H50" s="36" t="s">
        <v>217</v>
      </c>
      <c r="I50" s="26">
        <v>45078</v>
      </c>
      <c r="J50" s="26"/>
      <c r="K50" s="23" t="s">
        <v>218</v>
      </c>
      <c r="L50" s="23" t="s">
        <v>219</v>
      </c>
      <c r="M50" s="23" t="str">
        <f ca="1" t="shared" si="2"/>
        <v>2年10个月</v>
      </c>
      <c r="N50" s="23" t="s">
        <v>25</v>
      </c>
      <c r="O50" s="27"/>
      <c r="P50" s="23" t="s">
        <v>26</v>
      </c>
      <c r="Q50" s="28" t="s">
        <v>27</v>
      </c>
      <c r="R50" s="29" t="s">
        <v>52</v>
      </c>
      <c r="S50" s="29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30"/>
      <c r="DG50" s="30"/>
      <c r="DH50" s="30"/>
      <c r="DI50" s="30"/>
      <c r="DJ50" s="30"/>
      <c r="DK50" s="30"/>
      <c r="DL50" s="30"/>
      <c r="DM50" s="30"/>
      <c r="DN50" s="30"/>
      <c r="DO50" s="30"/>
      <c r="DP50" s="30"/>
      <c r="DQ50" s="30"/>
      <c r="DR50" s="30"/>
      <c r="DS50" s="30"/>
      <c r="DT50" s="30"/>
      <c r="DU50" s="30"/>
      <c r="DV50" s="30"/>
      <c r="DW50" s="30"/>
      <c r="DX50" s="30"/>
      <c r="DY50" s="30"/>
      <c r="DZ50" s="30"/>
      <c r="EA50" s="30"/>
      <c r="EB50" s="30"/>
      <c r="EC50" s="30"/>
      <c r="ED50" s="30"/>
      <c r="EE50" s="30"/>
      <c r="EF50" s="30"/>
      <c r="EG50" s="30"/>
      <c r="EH50" s="30"/>
      <c r="EI50" s="30"/>
      <c r="EJ50" s="30"/>
      <c r="EK50" s="30"/>
      <c r="EL50" s="30"/>
      <c r="EM50" s="30"/>
      <c r="EN50" s="30"/>
      <c r="EO50" s="30"/>
      <c r="EP50" s="30"/>
      <c r="EQ50" s="30"/>
      <c r="ER50" s="30"/>
      <c r="ES50" s="30"/>
      <c r="ET50" s="30"/>
      <c r="EU50" s="30"/>
      <c r="EV50" s="30"/>
      <c r="EW50" s="30"/>
      <c r="EX50" s="30"/>
      <c r="EY50" s="30"/>
      <c r="EZ50" s="30"/>
      <c r="FA50" s="30"/>
      <c r="FB50" s="30"/>
      <c r="FC50" s="30"/>
      <c r="FD50" s="30"/>
      <c r="FE50" s="30"/>
      <c r="FF50" s="30"/>
      <c r="FG50" s="30"/>
      <c r="FH50" s="30"/>
      <c r="FI50" s="30"/>
      <c r="FJ50" s="30"/>
      <c r="FK50" s="30"/>
      <c r="FL50" s="30"/>
      <c r="FM50" s="30"/>
      <c r="FN50" s="30"/>
      <c r="FO50" s="30"/>
      <c r="FP50" s="30"/>
      <c r="FQ50" s="30"/>
      <c r="FR50" s="30"/>
      <c r="FS50" s="30"/>
      <c r="FT50" s="30"/>
      <c r="FU50" s="30"/>
      <c r="FV50" s="30"/>
      <c r="FW50" s="30"/>
      <c r="FX50" s="30"/>
      <c r="FY50" s="30"/>
      <c r="FZ50" s="30"/>
      <c r="GA50" s="30"/>
      <c r="GB50" s="30"/>
      <c r="GC50" s="30"/>
      <c r="GD50" s="30"/>
      <c r="GE50" s="30"/>
      <c r="GF50" s="30"/>
      <c r="GG50" s="30"/>
      <c r="GH50" s="30"/>
      <c r="GI50" s="30"/>
      <c r="GJ50" s="30"/>
      <c r="GK50" s="30"/>
      <c r="GL50" s="30"/>
      <c r="GM50" s="30"/>
      <c r="GN50" s="30"/>
      <c r="GO50" s="30"/>
      <c r="GP50" s="30"/>
      <c r="GQ50" s="30"/>
      <c r="GR50" s="30"/>
      <c r="GS50" s="30"/>
      <c r="GT50" s="30"/>
      <c r="GU50" s="30"/>
      <c r="GV50" s="30"/>
      <c r="GW50" s="30"/>
      <c r="GX50" s="30"/>
      <c r="GY50" s="30"/>
      <c r="GZ50" s="30"/>
      <c r="HA50" s="30"/>
      <c r="HB50" s="30"/>
      <c r="HC50" s="30"/>
      <c r="HD50" s="30"/>
      <c r="HE50" s="30"/>
      <c r="HF50" s="30"/>
      <c r="HG50" s="30"/>
      <c r="HH50" s="30"/>
      <c r="HI50" s="30"/>
      <c r="HJ50" s="30"/>
      <c r="HK50" s="30"/>
      <c r="HL50" s="30"/>
      <c r="HM50" s="30"/>
      <c r="HN50" s="30"/>
      <c r="HO50" s="30"/>
      <c r="HP50" s="30"/>
      <c r="HQ50" s="30"/>
      <c r="HR50" s="30"/>
      <c r="HS50" s="30"/>
      <c r="HT50" s="30"/>
      <c r="HU50" s="30"/>
      <c r="HV50" s="30"/>
      <c r="HW50" s="30"/>
      <c r="HX50" s="30"/>
      <c r="HY50" s="30"/>
      <c r="HZ50" s="30"/>
      <c r="IA50" s="30"/>
      <c r="IB50" s="30"/>
      <c r="IC50" s="30"/>
      <c r="ID50" s="30"/>
      <c r="IE50" s="30"/>
      <c r="IF50" s="30"/>
      <c r="IG50" s="30"/>
      <c r="IH50" s="30"/>
      <c r="II50" s="30"/>
      <c r="IJ50" s="30"/>
      <c r="IK50" s="30"/>
      <c r="IL50" s="30"/>
      <c r="IM50" s="30"/>
      <c r="IN50" s="30"/>
      <c r="IO50" s="30"/>
      <c r="IP50" s="30"/>
      <c r="IQ50" s="30"/>
      <c r="IR50" s="30"/>
      <c r="IS50" s="30"/>
      <c r="IT50" s="30"/>
      <c r="IU50" s="30"/>
    </row>
    <row r="51" s="3" customFormat="1" customHeight="1" spans="1:255">
      <c r="A51" s="22">
        <v>49</v>
      </c>
      <c r="B51" s="23" t="s">
        <v>220</v>
      </c>
      <c r="C51" s="23" t="s">
        <v>221</v>
      </c>
      <c r="D51" s="167" t="s">
        <v>222</v>
      </c>
      <c r="E51" s="24">
        <v>19910608</v>
      </c>
      <c r="F51" s="23" t="str">
        <f t="shared" si="0"/>
        <v>女</v>
      </c>
      <c r="G51" s="22">
        <f ca="1" t="shared" si="1"/>
        <v>35</v>
      </c>
      <c r="H51" s="25">
        <v>18451321015</v>
      </c>
      <c r="I51" s="26">
        <v>45152</v>
      </c>
      <c r="J51" s="26"/>
      <c r="K51" s="23" t="s">
        <v>108</v>
      </c>
      <c r="L51" s="23" t="s">
        <v>109</v>
      </c>
      <c r="M51" s="23" t="str">
        <f ca="1" t="shared" si="2"/>
        <v>2年7个月</v>
      </c>
      <c r="N51" s="23" t="s">
        <v>25</v>
      </c>
      <c r="O51" s="27"/>
      <c r="P51" s="35" t="s">
        <v>93</v>
      </c>
      <c r="Q51" s="28" t="s">
        <v>27</v>
      </c>
      <c r="R51" s="29" t="s">
        <v>28</v>
      </c>
      <c r="S51" s="29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30"/>
      <c r="DI51" s="30"/>
      <c r="DJ51" s="30"/>
      <c r="DK51" s="30"/>
      <c r="DL51" s="30"/>
      <c r="DM51" s="30"/>
      <c r="DN51" s="30"/>
      <c r="DO51" s="30"/>
      <c r="DP51" s="30"/>
      <c r="DQ51" s="30"/>
      <c r="DR51" s="30"/>
      <c r="DS51" s="30"/>
      <c r="DT51" s="30"/>
      <c r="DU51" s="30"/>
      <c r="DV51" s="30"/>
      <c r="DW51" s="30"/>
      <c r="DX51" s="30"/>
      <c r="DY51" s="30"/>
      <c r="DZ51" s="30"/>
      <c r="EA51" s="30"/>
      <c r="EB51" s="30"/>
      <c r="EC51" s="30"/>
      <c r="ED51" s="30"/>
      <c r="EE51" s="30"/>
      <c r="EF51" s="30"/>
      <c r="EG51" s="30"/>
      <c r="EH51" s="30"/>
      <c r="EI51" s="30"/>
      <c r="EJ51" s="30"/>
      <c r="EK51" s="30"/>
      <c r="EL51" s="30"/>
      <c r="EM51" s="30"/>
      <c r="EN51" s="30"/>
      <c r="EO51" s="30"/>
      <c r="EP51" s="30"/>
      <c r="EQ51" s="30"/>
      <c r="ER51" s="30"/>
      <c r="ES51" s="30"/>
      <c r="ET51" s="30"/>
      <c r="EU51" s="30"/>
      <c r="EV51" s="30"/>
      <c r="EW51" s="30"/>
      <c r="EX51" s="30"/>
      <c r="EY51" s="30"/>
      <c r="EZ51" s="30"/>
      <c r="FA51" s="30"/>
      <c r="FB51" s="30"/>
      <c r="FC51" s="30"/>
      <c r="FD51" s="30"/>
      <c r="FE51" s="30"/>
      <c r="FF51" s="30"/>
      <c r="FG51" s="30"/>
      <c r="FH51" s="30"/>
      <c r="FI51" s="30"/>
      <c r="FJ51" s="30"/>
      <c r="FK51" s="30"/>
      <c r="FL51" s="30"/>
      <c r="FM51" s="30"/>
      <c r="FN51" s="30"/>
      <c r="FO51" s="30"/>
      <c r="FP51" s="30"/>
      <c r="FQ51" s="30"/>
      <c r="FR51" s="30"/>
      <c r="FS51" s="30"/>
      <c r="FT51" s="30"/>
      <c r="FU51" s="30"/>
      <c r="FV51" s="30"/>
      <c r="FW51" s="30"/>
      <c r="FX51" s="30"/>
      <c r="FY51" s="30"/>
      <c r="FZ51" s="30"/>
      <c r="GA51" s="30"/>
      <c r="GB51" s="30"/>
      <c r="GC51" s="30"/>
      <c r="GD51" s="30"/>
      <c r="GE51" s="30"/>
      <c r="GF51" s="30"/>
      <c r="GG51" s="30"/>
      <c r="GH51" s="30"/>
      <c r="GI51" s="30"/>
      <c r="GJ51" s="30"/>
      <c r="GK51" s="30"/>
      <c r="GL51" s="30"/>
      <c r="GM51" s="30"/>
      <c r="GN51" s="30"/>
      <c r="GO51" s="30"/>
      <c r="GP51" s="30"/>
      <c r="GQ51" s="30"/>
      <c r="GR51" s="30"/>
      <c r="GS51" s="30"/>
      <c r="GT51" s="30"/>
      <c r="GU51" s="30"/>
      <c r="GV51" s="30"/>
      <c r="GW51" s="30"/>
      <c r="GX51" s="30"/>
      <c r="GY51" s="30"/>
      <c r="GZ51" s="30"/>
      <c r="HA51" s="30"/>
      <c r="HB51" s="30"/>
      <c r="HC51" s="30"/>
      <c r="HD51" s="30"/>
      <c r="HE51" s="30"/>
      <c r="HF51" s="30"/>
      <c r="HG51" s="30"/>
      <c r="HH51" s="30"/>
      <c r="HI51" s="30"/>
      <c r="HJ51" s="30"/>
      <c r="HK51" s="30"/>
      <c r="HL51" s="30"/>
      <c r="HM51" s="30"/>
      <c r="HN51" s="30"/>
      <c r="HO51" s="30"/>
      <c r="HP51" s="30"/>
      <c r="HQ51" s="30"/>
      <c r="HR51" s="30"/>
      <c r="HS51" s="30"/>
      <c r="HT51" s="30"/>
      <c r="HU51" s="30"/>
      <c r="HV51" s="30"/>
      <c r="HW51" s="30"/>
      <c r="HX51" s="30"/>
      <c r="HY51" s="30"/>
      <c r="HZ51" s="30"/>
      <c r="IA51" s="30"/>
      <c r="IB51" s="30"/>
      <c r="IC51" s="30"/>
      <c r="ID51" s="30"/>
      <c r="IE51" s="30"/>
      <c r="IF51" s="30"/>
      <c r="IG51" s="30"/>
      <c r="IH51" s="30"/>
      <c r="II51" s="30"/>
      <c r="IJ51" s="30"/>
      <c r="IK51" s="30"/>
      <c r="IL51" s="30"/>
      <c r="IM51" s="30"/>
      <c r="IN51" s="30"/>
      <c r="IO51" s="30"/>
      <c r="IP51" s="30"/>
      <c r="IQ51" s="30"/>
      <c r="IR51" s="30"/>
      <c r="IS51" s="30"/>
      <c r="IT51" s="30"/>
      <c r="IU51" s="30"/>
    </row>
    <row r="52" s="3" customFormat="1" customHeight="1" spans="1:255">
      <c r="A52" s="22">
        <v>50</v>
      </c>
      <c r="B52" s="23" t="s">
        <v>223</v>
      </c>
      <c r="C52" s="22" t="s">
        <v>224</v>
      </c>
      <c r="D52" s="169" t="s">
        <v>225</v>
      </c>
      <c r="E52" s="49">
        <v>19740429</v>
      </c>
      <c r="F52" s="22" t="s">
        <v>226</v>
      </c>
      <c r="G52" s="22">
        <f ca="1" t="shared" si="1"/>
        <v>52</v>
      </c>
      <c r="H52" s="25">
        <v>13151356185</v>
      </c>
      <c r="I52" s="26">
        <v>45226</v>
      </c>
      <c r="J52" s="26"/>
      <c r="K52" s="22"/>
      <c r="L52" s="23" t="s">
        <v>92</v>
      </c>
      <c r="M52" s="23" t="str">
        <f ca="1" t="shared" si="2"/>
        <v>2年5个月</v>
      </c>
      <c r="N52" s="23" t="s">
        <v>25</v>
      </c>
      <c r="O52" s="27"/>
      <c r="P52" s="35" t="s">
        <v>93</v>
      </c>
      <c r="Q52" s="29"/>
      <c r="R52" s="29"/>
      <c r="S52" s="29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30"/>
      <c r="DF52" s="30"/>
      <c r="DG52" s="30"/>
      <c r="DH52" s="30"/>
      <c r="DI52" s="30"/>
      <c r="DJ52" s="30"/>
      <c r="DK52" s="30"/>
      <c r="DL52" s="30"/>
      <c r="DM52" s="30"/>
      <c r="DN52" s="30"/>
      <c r="DO52" s="30"/>
      <c r="DP52" s="30"/>
      <c r="DQ52" s="30"/>
      <c r="DR52" s="30"/>
      <c r="DS52" s="30"/>
      <c r="DT52" s="30"/>
      <c r="DU52" s="30"/>
      <c r="DV52" s="30"/>
      <c r="DW52" s="30"/>
      <c r="DX52" s="30"/>
      <c r="DY52" s="30"/>
      <c r="DZ52" s="30"/>
      <c r="EA52" s="30"/>
      <c r="EB52" s="30"/>
      <c r="EC52" s="30"/>
      <c r="ED52" s="30"/>
      <c r="EE52" s="30"/>
      <c r="EF52" s="30"/>
      <c r="EG52" s="30"/>
      <c r="EH52" s="30"/>
      <c r="EI52" s="30"/>
      <c r="EJ52" s="30"/>
      <c r="EK52" s="30"/>
      <c r="EL52" s="30"/>
      <c r="EM52" s="30"/>
      <c r="EN52" s="30"/>
      <c r="EO52" s="30"/>
      <c r="EP52" s="30"/>
      <c r="EQ52" s="30"/>
      <c r="ER52" s="30"/>
      <c r="ES52" s="30"/>
      <c r="ET52" s="30"/>
      <c r="EU52" s="30"/>
      <c r="EV52" s="30"/>
      <c r="EW52" s="30"/>
      <c r="EX52" s="30"/>
      <c r="EY52" s="30"/>
      <c r="EZ52" s="30"/>
      <c r="FA52" s="30"/>
      <c r="FB52" s="30"/>
      <c r="FC52" s="30"/>
      <c r="FD52" s="30"/>
      <c r="FE52" s="30"/>
      <c r="FF52" s="30"/>
      <c r="FG52" s="30"/>
      <c r="FH52" s="30"/>
      <c r="FI52" s="30"/>
      <c r="FJ52" s="30"/>
      <c r="FK52" s="30"/>
      <c r="FL52" s="30"/>
      <c r="FM52" s="30"/>
      <c r="FN52" s="30"/>
      <c r="FO52" s="30"/>
      <c r="FP52" s="30"/>
      <c r="FQ52" s="30"/>
      <c r="FR52" s="30"/>
      <c r="FS52" s="30"/>
      <c r="FT52" s="30"/>
      <c r="FU52" s="30"/>
      <c r="FV52" s="30"/>
      <c r="FW52" s="30"/>
      <c r="FX52" s="30"/>
      <c r="FY52" s="30"/>
      <c r="FZ52" s="30"/>
      <c r="GA52" s="30"/>
      <c r="GB52" s="30"/>
      <c r="GC52" s="30"/>
      <c r="GD52" s="30"/>
      <c r="GE52" s="30"/>
      <c r="GF52" s="30"/>
      <c r="GG52" s="30"/>
      <c r="GH52" s="30"/>
      <c r="GI52" s="30"/>
      <c r="GJ52" s="30"/>
      <c r="GK52" s="30"/>
      <c r="GL52" s="30"/>
      <c r="GM52" s="30"/>
      <c r="GN52" s="30"/>
      <c r="GO52" s="30"/>
      <c r="GP52" s="30"/>
      <c r="GQ52" s="30"/>
      <c r="GR52" s="30"/>
      <c r="GS52" s="30"/>
      <c r="GT52" s="30"/>
      <c r="GU52" s="30"/>
      <c r="GV52" s="30"/>
      <c r="GW52" s="30"/>
      <c r="GX52" s="30"/>
      <c r="GY52" s="30"/>
      <c r="GZ52" s="30"/>
      <c r="HA52" s="30"/>
      <c r="HB52" s="30"/>
      <c r="HC52" s="30"/>
      <c r="HD52" s="30"/>
      <c r="HE52" s="30"/>
      <c r="HF52" s="30"/>
      <c r="HG52" s="30"/>
      <c r="HH52" s="30"/>
      <c r="HI52" s="30"/>
      <c r="HJ52" s="30"/>
      <c r="HK52" s="30"/>
      <c r="HL52" s="30"/>
      <c r="HM52" s="30"/>
      <c r="HN52" s="30"/>
      <c r="HO52" s="30"/>
      <c r="HP52" s="30"/>
      <c r="HQ52" s="30"/>
      <c r="HR52" s="30"/>
      <c r="HS52" s="30"/>
      <c r="HT52" s="30"/>
      <c r="HU52" s="30"/>
      <c r="HV52" s="30"/>
      <c r="HW52" s="30"/>
      <c r="HX52" s="30"/>
      <c r="HY52" s="30"/>
      <c r="HZ52" s="30"/>
      <c r="IA52" s="30"/>
      <c r="IB52" s="30"/>
      <c r="IC52" s="30"/>
      <c r="ID52" s="30"/>
      <c r="IE52" s="30"/>
      <c r="IF52" s="30"/>
      <c r="IG52" s="30"/>
      <c r="IH52" s="30"/>
      <c r="II52" s="30"/>
      <c r="IJ52" s="30"/>
      <c r="IK52" s="30"/>
      <c r="IL52" s="30"/>
      <c r="IM52" s="30"/>
      <c r="IN52" s="30"/>
      <c r="IO52" s="30"/>
      <c r="IP52" s="30"/>
      <c r="IQ52" s="30"/>
      <c r="IR52" s="30"/>
      <c r="IS52" s="30"/>
      <c r="IT52" s="30"/>
      <c r="IU52" s="30"/>
    </row>
    <row r="53" s="1" customFormat="1" ht="15.75" spans="1:255">
      <c r="A53" s="22">
        <v>51</v>
      </c>
      <c r="B53" s="23" t="s">
        <v>227</v>
      </c>
      <c r="C53" s="33" t="s">
        <v>228</v>
      </c>
      <c r="D53" s="168" t="s">
        <v>229</v>
      </c>
      <c r="E53" s="50">
        <v>19750227</v>
      </c>
      <c r="F53" s="16" t="s">
        <v>226</v>
      </c>
      <c r="G53" s="16">
        <f ca="1" t="shared" si="1"/>
        <v>51</v>
      </c>
      <c r="H53" s="51">
        <v>13912535827</v>
      </c>
      <c r="I53" s="52">
        <v>45261</v>
      </c>
      <c r="J53" s="52"/>
      <c r="K53" s="16" t="s">
        <v>70</v>
      </c>
      <c r="L53" s="16" t="s">
        <v>92</v>
      </c>
      <c r="M53" s="23" t="str">
        <f ca="1" t="shared" si="2"/>
        <v>2年4个月</v>
      </c>
      <c r="N53" s="53" t="s">
        <v>25</v>
      </c>
      <c r="O53" s="54"/>
      <c r="P53" s="54"/>
      <c r="Q53" s="16"/>
      <c r="R53" s="16" t="s">
        <v>52</v>
      </c>
      <c r="S53" s="1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U53" s="6"/>
      <c r="HV53" s="6"/>
      <c r="HW53" s="6"/>
      <c r="HX53" s="6"/>
      <c r="HY53" s="6"/>
      <c r="HZ53" s="6"/>
      <c r="IA53" s="6"/>
      <c r="IB53" s="6"/>
      <c r="IC53" s="6"/>
      <c r="ID53" s="6"/>
      <c r="IE53" s="6"/>
      <c r="IF53" s="6"/>
      <c r="IG53" s="6"/>
      <c r="IH53" s="6"/>
      <c r="II53" s="6"/>
      <c r="IJ53" s="6"/>
      <c r="IK53" s="6"/>
      <c r="IL53" s="6"/>
      <c r="IM53" s="6"/>
      <c r="IN53" s="6"/>
      <c r="IO53" s="6"/>
      <c r="IP53" s="6"/>
      <c r="IQ53" s="6"/>
      <c r="IR53" s="6"/>
      <c r="IS53" s="6"/>
      <c r="IT53" s="6"/>
      <c r="IU53" s="6"/>
    </row>
    <row r="54" s="1" customFormat="1" ht="15.75" spans="1:255">
      <c r="A54" s="22">
        <v>52</v>
      </c>
      <c r="B54" s="23" t="s">
        <v>230</v>
      </c>
      <c r="C54" s="55" t="s">
        <v>231</v>
      </c>
      <c r="D54" s="169" t="s">
        <v>232</v>
      </c>
      <c r="E54" s="31">
        <v>26636</v>
      </c>
      <c r="F54" s="6" t="s">
        <v>233</v>
      </c>
      <c r="G54" s="22">
        <f ca="1" t="shared" si="1"/>
        <v>54</v>
      </c>
      <c r="H54" s="25">
        <v>18015406362</v>
      </c>
      <c r="I54" s="26">
        <v>45223</v>
      </c>
      <c r="J54" s="22"/>
      <c r="K54" s="23" t="s">
        <v>70</v>
      </c>
      <c r="L54" s="23" t="s">
        <v>92</v>
      </c>
      <c r="M54" s="23" t="str">
        <f ca="1" t="shared" si="2"/>
        <v>2年5个月</v>
      </c>
      <c r="N54" s="23" t="s">
        <v>25</v>
      </c>
      <c r="O54" s="56"/>
      <c r="P54" s="57"/>
      <c r="Q54" s="32"/>
      <c r="R54" s="16" t="s">
        <v>234</v>
      </c>
      <c r="S54" s="32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  <c r="HI54" s="6"/>
      <c r="HJ54" s="6"/>
      <c r="HK54" s="6"/>
      <c r="HL54" s="6"/>
      <c r="HM54" s="6"/>
      <c r="HN54" s="6"/>
      <c r="HO54" s="6"/>
      <c r="HP54" s="6"/>
      <c r="HQ54" s="6"/>
      <c r="HR54" s="6"/>
      <c r="HS54" s="6"/>
      <c r="HT54" s="6"/>
      <c r="HU54" s="6"/>
      <c r="HV54" s="6"/>
      <c r="HW54" s="6"/>
      <c r="HX54" s="6"/>
      <c r="HY54" s="6"/>
      <c r="HZ54" s="6"/>
      <c r="IA54" s="6"/>
      <c r="IB54" s="6"/>
      <c r="IC54" s="6"/>
      <c r="ID54" s="6"/>
      <c r="IE54" s="6"/>
      <c r="IF54" s="6"/>
      <c r="IG54" s="6"/>
      <c r="IH54" s="6"/>
      <c r="II54" s="6"/>
      <c r="IJ54" s="6"/>
      <c r="IK54" s="6"/>
      <c r="IL54" s="6"/>
      <c r="IM54" s="6"/>
      <c r="IN54" s="6"/>
      <c r="IO54" s="6"/>
      <c r="IP54" s="6"/>
      <c r="IQ54" s="6"/>
      <c r="IR54" s="6"/>
      <c r="IS54" s="6"/>
      <c r="IT54" s="6"/>
      <c r="IU54" s="6"/>
    </row>
    <row r="55" s="1" customFormat="1" ht="15.75" spans="1:255">
      <c r="A55" s="22">
        <v>53</v>
      </c>
      <c r="B55" s="23" t="s">
        <v>235</v>
      </c>
      <c r="C55" s="33" t="s">
        <v>236</v>
      </c>
      <c r="D55" s="16" t="s">
        <v>237</v>
      </c>
      <c r="E55" s="58">
        <v>19911001</v>
      </c>
      <c r="F55" s="59" t="s">
        <v>233</v>
      </c>
      <c r="G55" s="16">
        <v>33</v>
      </c>
      <c r="H55" s="51">
        <v>15195521267</v>
      </c>
      <c r="I55" s="60">
        <v>45306</v>
      </c>
      <c r="J55" s="52"/>
      <c r="K55" s="16" t="s">
        <v>23</v>
      </c>
      <c r="L55" s="16" t="s">
        <v>66</v>
      </c>
      <c r="M55" s="61" t="str">
        <f ca="1" t="shared" si="2"/>
        <v>2年2个月</v>
      </c>
      <c r="N55" s="62" t="s">
        <v>25</v>
      </c>
      <c r="O55" s="56"/>
      <c r="P55" s="57" t="s">
        <v>238</v>
      </c>
      <c r="Q55" s="32" t="s">
        <v>80</v>
      </c>
      <c r="R55" s="16" t="s">
        <v>28</v>
      </c>
      <c r="S55" s="32" t="s">
        <v>239</v>
      </c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  <c r="HN55" s="6"/>
      <c r="HO55" s="6"/>
      <c r="HP55" s="6"/>
      <c r="HQ55" s="6"/>
      <c r="HR55" s="6"/>
      <c r="HS55" s="6"/>
      <c r="HT55" s="6"/>
      <c r="HU55" s="6"/>
      <c r="HV55" s="6"/>
      <c r="HW55" s="6"/>
      <c r="HX55" s="6"/>
      <c r="HY55" s="6"/>
      <c r="HZ55" s="6"/>
      <c r="IA55" s="6"/>
      <c r="IB55" s="6"/>
      <c r="IC55" s="6"/>
      <c r="ID55" s="6"/>
      <c r="IE55" s="6"/>
      <c r="IF55" s="6"/>
      <c r="IG55" s="6"/>
      <c r="IH55" s="6"/>
      <c r="II55" s="6"/>
      <c r="IJ55" s="6"/>
      <c r="IK55" s="6"/>
      <c r="IL55" s="6"/>
      <c r="IM55" s="6"/>
      <c r="IN55" s="6"/>
      <c r="IO55" s="6"/>
      <c r="IP55" s="6"/>
      <c r="IQ55" s="6"/>
      <c r="IR55" s="6"/>
      <c r="IS55" s="6"/>
      <c r="IT55" s="6"/>
      <c r="IU55" s="6"/>
    </row>
    <row r="56" s="1" customFormat="1" ht="15.75" spans="1:255">
      <c r="A56" s="22">
        <v>54</v>
      </c>
      <c r="B56" s="61" t="s">
        <v>240</v>
      </c>
      <c r="C56" s="16" t="s">
        <v>241</v>
      </c>
      <c r="D56" s="170" t="s">
        <v>242</v>
      </c>
      <c r="E56" s="63">
        <v>19890427</v>
      </c>
      <c r="F56" s="16" t="s">
        <v>226</v>
      </c>
      <c r="G56" s="16">
        <v>35</v>
      </c>
      <c r="H56" s="51">
        <v>18962025807</v>
      </c>
      <c r="I56" s="60">
        <v>45306</v>
      </c>
      <c r="J56" s="52"/>
      <c r="K56" s="23" t="s">
        <v>70</v>
      </c>
      <c r="L56" s="23" t="s">
        <v>243</v>
      </c>
      <c r="M56" s="23" t="str">
        <f ca="1" t="shared" si="2"/>
        <v>2年2个月</v>
      </c>
      <c r="N56" s="62" t="s">
        <v>25</v>
      </c>
      <c r="O56" s="56"/>
      <c r="P56" s="57" t="s">
        <v>238</v>
      </c>
      <c r="Q56" s="16" t="s">
        <v>27</v>
      </c>
      <c r="R56" s="16"/>
      <c r="S56" s="16" t="s">
        <v>27</v>
      </c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  <c r="HI56" s="6"/>
      <c r="HJ56" s="6"/>
      <c r="HK56" s="6"/>
      <c r="HL56" s="6"/>
      <c r="HM56" s="6"/>
      <c r="HN56" s="6"/>
      <c r="HO56" s="6"/>
      <c r="HP56" s="6"/>
      <c r="HQ56" s="6"/>
      <c r="HR56" s="6"/>
      <c r="HS56" s="6"/>
      <c r="HT56" s="6"/>
      <c r="HU56" s="6"/>
      <c r="HV56" s="6"/>
      <c r="HW56" s="6"/>
      <c r="HX56" s="6"/>
      <c r="HY56" s="6"/>
      <c r="HZ56" s="6"/>
      <c r="IA56" s="6"/>
      <c r="IB56" s="6"/>
      <c r="IC56" s="6"/>
      <c r="ID56" s="6"/>
      <c r="IE56" s="6"/>
      <c r="IF56" s="6"/>
      <c r="IG56" s="6"/>
      <c r="IH56" s="6"/>
      <c r="II56" s="6"/>
      <c r="IJ56" s="6"/>
      <c r="IK56" s="6"/>
      <c r="IL56" s="6"/>
      <c r="IM56" s="6"/>
      <c r="IN56" s="6"/>
      <c r="IO56" s="6"/>
      <c r="IP56" s="6"/>
      <c r="IQ56" s="6"/>
      <c r="IR56" s="6"/>
      <c r="IS56" s="6"/>
      <c r="IT56" s="6"/>
      <c r="IU56" s="6"/>
    </row>
    <row r="57" s="6" customFormat="1" ht="15.75" spans="1:255">
      <c r="A57" s="22">
        <v>55</v>
      </c>
      <c r="B57" s="61" t="s">
        <v>244</v>
      </c>
      <c r="C57" s="23" t="s">
        <v>245</v>
      </c>
      <c r="D57" s="167" t="s">
        <v>246</v>
      </c>
      <c r="E57" s="24">
        <v>19911202</v>
      </c>
      <c r="F57" s="23" t="s">
        <v>226</v>
      </c>
      <c r="G57" s="22">
        <v>33</v>
      </c>
      <c r="H57" s="25">
        <v>13092114856</v>
      </c>
      <c r="I57" s="26">
        <v>45341</v>
      </c>
      <c r="J57" s="26"/>
      <c r="K57" s="23" t="s">
        <v>247</v>
      </c>
      <c r="L57" s="23" t="s">
        <v>247</v>
      </c>
      <c r="M57" s="61" t="str">
        <f ca="1" t="shared" si="2"/>
        <v>2年1个月</v>
      </c>
      <c r="N57" s="23" t="s">
        <v>25</v>
      </c>
      <c r="O57" s="27"/>
      <c r="P57" s="64" t="s">
        <v>238</v>
      </c>
      <c r="Q57" s="32" t="s">
        <v>239</v>
      </c>
      <c r="R57" s="29" t="s">
        <v>32</v>
      </c>
      <c r="S57" s="65" t="s">
        <v>239</v>
      </c>
    </row>
    <row r="58" s="1" customFormat="1" customHeight="1" spans="1:255">
      <c r="A58" s="22">
        <v>56</v>
      </c>
      <c r="B58" s="16" t="s">
        <v>248</v>
      </c>
      <c r="C58" s="59" t="s">
        <v>249</v>
      </c>
      <c r="D58" s="171" t="s">
        <v>250</v>
      </c>
      <c r="E58" s="66">
        <v>34993</v>
      </c>
      <c r="F58" s="59" t="s">
        <v>226</v>
      </c>
      <c r="G58" s="59">
        <v>29</v>
      </c>
      <c r="H58" s="59">
        <v>18936299038</v>
      </c>
      <c r="I58" s="66">
        <v>45352</v>
      </c>
      <c r="J58" s="67"/>
      <c r="K58" s="67" t="s">
        <v>56</v>
      </c>
      <c r="L58" s="59" t="s">
        <v>109</v>
      </c>
      <c r="M58" s="61" t="str">
        <f ca="1" t="shared" si="2"/>
        <v>2年1个月</v>
      </c>
      <c r="N58" s="59" t="s">
        <v>25</v>
      </c>
      <c r="O58" s="54"/>
      <c r="P58" s="64" t="s">
        <v>238</v>
      </c>
      <c r="Q58" s="28" t="s">
        <v>27</v>
      </c>
      <c r="R58" s="16" t="s">
        <v>32</v>
      </c>
      <c r="S58" s="29" t="s">
        <v>27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U58" s="6"/>
      <c r="HV58" s="6"/>
      <c r="HW58" s="6"/>
      <c r="HX58" s="6"/>
      <c r="HY58" s="6"/>
      <c r="HZ58" s="6"/>
      <c r="IA58" s="6"/>
      <c r="IB58" s="6"/>
      <c r="IC58" s="6"/>
      <c r="ID58" s="6"/>
      <c r="IE58" s="6"/>
      <c r="IF58" s="6"/>
      <c r="IG58" s="6"/>
      <c r="IH58" s="6"/>
      <c r="II58" s="6"/>
      <c r="IJ58" s="6"/>
      <c r="IK58" s="6"/>
      <c r="IL58" s="6"/>
      <c r="IM58" s="6"/>
      <c r="IN58" s="6"/>
      <c r="IO58" s="6"/>
      <c r="IP58" s="6"/>
      <c r="IQ58" s="6"/>
      <c r="IR58" s="6"/>
      <c r="IS58" s="6"/>
      <c r="IT58" s="6"/>
      <c r="IU58" s="6"/>
    </row>
    <row r="59" s="3" customFormat="1" customHeight="1" spans="1:255">
      <c r="A59" s="22">
        <v>57</v>
      </c>
      <c r="B59" s="16" t="s">
        <v>251</v>
      </c>
      <c r="C59" s="16" t="s">
        <v>252</v>
      </c>
      <c r="D59" s="170" t="s">
        <v>253</v>
      </c>
      <c r="E59" s="60">
        <v>27864</v>
      </c>
      <c r="F59" s="16" t="s">
        <v>226</v>
      </c>
      <c r="G59" s="16">
        <v>48</v>
      </c>
      <c r="H59" s="51">
        <v>15905116006</v>
      </c>
      <c r="I59" s="52">
        <v>45356</v>
      </c>
      <c r="J59" s="52"/>
      <c r="K59" s="54" t="s">
        <v>70</v>
      </c>
      <c r="L59" s="16" t="s">
        <v>254</v>
      </c>
      <c r="M59" s="61" t="str">
        <f ca="1" t="shared" si="2"/>
        <v>2年1个月</v>
      </c>
      <c r="N59" s="16" t="s">
        <v>25</v>
      </c>
      <c r="O59" s="54"/>
      <c r="P59" s="64" t="s">
        <v>255</v>
      </c>
      <c r="Q59" s="28" t="s">
        <v>27</v>
      </c>
      <c r="R59" s="16" t="s">
        <v>52</v>
      </c>
      <c r="S59" s="29" t="s">
        <v>27</v>
      </c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  <c r="DF59" s="30"/>
      <c r="DG59" s="30"/>
      <c r="DH59" s="30"/>
      <c r="DI59" s="30"/>
      <c r="DJ59" s="30"/>
      <c r="DK59" s="30"/>
      <c r="DL59" s="30"/>
      <c r="DM59" s="30"/>
      <c r="DN59" s="30"/>
      <c r="DO59" s="30"/>
      <c r="DP59" s="30"/>
      <c r="DQ59" s="30"/>
      <c r="DR59" s="30"/>
      <c r="DS59" s="30"/>
      <c r="DT59" s="30"/>
      <c r="DU59" s="30"/>
      <c r="DV59" s="30"/>
      <c r="DW59" s="30"/>
      <c r="DX59" s="30"/>
      <c r="DY59" s="30"/>
      <c r="DZ59" s="30"/>
      <c r="EA59" s="30"/>
      <c r="EB59" s="30"/>
      <c r="EC59" s="30"/>
      <c r="ED59" s="30"/>
      <c r="EE59" s="30"/>
      <c r="EF59" s="30"/>
      <c r="EG59" s="30"/>
      <c r="EH59" s="30"/>
      <c r="EI59" s="30"/>
      <c r="EJ59" s="30"/>
      <c r="EK59" s="30"/>
      <c r="EL59" s="30"/>
      <c r="EM59" s="30"/>
      <c r="EN59" s="30"/>
      <c r="EO59" s="30"/>
      <c r="EP59" s="30"/>
      <c r="EQ59" s="30"/>
      <c r="ER59" s="30"/>
      <c r="ES59" s="30"/>
      <c r="ET59" s="30"/>
      <c r="EU59" s="30"/>
      <c r="EV59" s="30"/>
      <c r="EW59" s="30"/>
      <c r="EX59" s="30"/>
      <c r="EY59" s="30"/>
      <c r="EZ59" s="30"/>
      <c r="FA59" s="30"/>
      <c r="FB59" s="30"/>
      <c r="FC59" s="30"/>
      <c r="FD59" s="30"/>
      <c r="FE59" s="30"/>
      <c r="FF59" s="30"/>
      <c r="FG59" s="30"/>
      <c r="FH59" s="30"/>
      <c r="FI59" s="30"/>
      <c r="FJ59" s="30"/>
      <c r="FK59" s="30"/>
      <c r="FL59" s="30"/>
      <c r="FM59" s="30"/>
      <c r="FN59" s="30"/>
      <c r="FO59" s="30"/>
      <c r="FP59" s="30"/>
      <c r="FQ59" s="30"/>
      <c r="FR59" s="30"/>
      <c r="FS59" s="30"/>
      <c r="FT59" s="30"/>
      <c r="FU59" s="30"/>
      <c r="FV59" s="30"/>
      <c r="FW59" s="30"/>
      <c r="FX59" s="30"/>
      <c r="FY59" s="30"/>
      <c r="FZ59" s="30"/>
      <c r="GA59" s="30"/>
      <c r="GB59" s="30"/>
      <c r="GC59" s="30"/>
      <c r="GD59" s="30"/>
      <c r="GE59" s="30"/>
      <c r="GF59" s="30"/>
      <c r="GG59" s="30"/>
      <c r="GH59" s="30"/>
      <c r="GI59" s="30"/>
      <c r="GJ59" s="30"/>
      <c r="GK59" s="30"/>
      <c r="GL59" s="30"/>
      <c r="GM59" s="30"/>
      <c r="GN59" s="30"/>
      <c r="GO59" s="30"/>
      <c r="GP59" s="30"/>
      <c r="GQ59" s="30"/>
      <c r="GR59" s="30"/>
      <c r="GS59" s="30"/>
      <c r="GT59" s="30"/>
      <c r="GU59" s="30"/>
      <c r="GV59" s="30"/>
      <c r="GW59" s="30"/>
      <c r="GX59" s="30"/>
      <c r="GY59" s="30"/>
      <c r="GZ59" s="30"/>
      <c r="HA59" s="30"/>
      <c r="HB59" s="30"/>
      <c r="HC59" s="30"/>
      <c r="HD59" s="30"/>
      <c r="HE59" s="30"/>
      <c r="HF59" s="30"/>
      <c r="HG59" s="30"/>
      <c r="HH59" s="30"/>
      <c r="HI59" s="30"/>
      <c r="HJ59" s="30"/>
      <c r="HK59" s="30"/>
      <c r="HL59" s="30"/>
      <c r="HM59" s="30"/>
      <c r="HN59" s="30"/>
      <c r="HO59" s="30"/>
      <c r="HP59" s="30"/>
      <c r="HQ59" s="30"/>
      <c r="HR59" s="30"/>
      <c r="HS59" s="30"/>
      <c r="HT59" s="30"/>
      <c r="HU59" s="30"/>
      <c r="HV59" s="30"/>
      <c r="HW59" s="30"/>
      <c r="HX59" s="30"/>
      <c r="HY59" s="30"/>
      <c r="HZ59" s="30"/>
      <c r="IA59" s="30"/>
      <c r="IB59" s="30"/>
      <c r="IC59" s="30"/>
      <c r="ID59" s="30"/>
      <c r="IE59" s="30"/>
      <c r="IF59" s="30"/>
      <c r="IG59" s="30"/>
      <c r="IH59" s="30"/>
      <c r="II59" s="30"/>
      <c r="IJ59" s="30"/>
      <c r="IK59" s="30"/>
      <c r="IL59" s="30"/>
      <c r="IM59" s="30"/>
      <c r="IN59" s="30"/>
      <c r="IO59" s="30"/>
      <c r="IP59" s="30"/>
      <c r="IQ59" s="30"/>
      <c r="IR59" s="30"/>
      <c r="IS59" s="30"/>
      <c r="IT59" s="30"/>
      <c r="IU59" s="30"/>
    </row>
    <row r="60" s="3" customFormat="1" customHeight="1" spans="1:255">
      <c r="A60" s="22">
        <v>58</v>
      </c>
      <c r="B60" s="16" t="s">
        <v>256</v>
      </c>
      <c r="C60" s="16" t="s">
        <v>257</v>
      </c>
      <c r="D60" s="170" t="s">
        <v>258</v>
      </c>
      <c r="E60" s="60">
        <v>32517</v>
      </c>
      <c r="F60" s="16" t="s">
        <v>226</v>
      </c>
      <c r="G60" s="16">
        <v>35</v>
      </c>
      <c r="H60" s="16">
        <v>18752230963</v>
      </c>
      <c r="I60" s="60">
        <v>45356</v>
      </c>
      <c r="J60" s="54"/>
      <c r="K60" s="54" t="s">
        <v>70</v>
      </c>
      <c r="L60" s="16" t="s">
        <v>109</v>
      </c>
      <c r="M60" s="23" t="str">
        <f ca="1" t="shared" si="2"/>
        <v>2年1个月</v>
      </c>
      <c r="N60" s="16" t="s">
        <v>25</v>
      </c>
      <c r="O60" s="16"/>
      <c r="P60" s="64" t="s">
        <v>255</v>
      </c>
      <c r="Q60" s="16"/>
      <c r="R60" s="16" t="s">
        <v>52</v>
      </c>
      <c r="S60" s="16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  <c r="DS60" s="30"/>
      <c r="DT60" s="30"/>
      <c r="DU60" s="30"/>
      <c r="DV60" s="30"/>
      <c r="DW60" s="30"/>
      <c r="DX60" s="30"/>
      <c r="DY60" s="30"/>
      <c r="DZ60" s="30"/>
      <c r="EA60" s="30"/>
      <c r="EB60" s="30"/>
      <c r="EC60" s="30"/>
      <c r="ED60" s="30"/>
      <c r="EE60" s="30"/>
      <c r="EF60" s="30"/>
      <c r="EG60" s="30"/>
      <c r="EH60" s="30"/>
      <c r="EI60" s="30"/>
      <c r="EJ60" s="30"/>
      <c r="EK60" s="30"/>
      <c r="EL60" s="30"/>
      <c r="EM60" s="30"/>
      <c r="EN60" s="30"/>
      <c r="EO60" s="30"/>
      <c r="EP60" s="30"/>
      <c r="EQ60" s="30"/>
      <c r="ER60" s="30"/>
      <c r="ES60" s="30"/>
      <c r="ET60" s="30"/>
      <c r="EU60" s="30"/>
      <c r="EV60" s="30"/>
      <c r="EW60" s="30"/>
      <c r="EX60" s="30"/>
      <c r="EY60" s="30"/>
      <c r="EZ60" s="30"/>
      <c r="FA60" s="30"/>
      <c r="FB60" s="30"/>
      <c r="FC60" s="30"/>
      <c r="FD60" s="30"/>
      <c r="FE60" s="30"/>
      <c r="FF60" s="30"/>
      <c r="FG60" s="30"/>
      <c r="FH60" s="30"/>
      <c r="FI60" s="30"/>
      <c r="FJ60" s="30"/>
      <c r="FK60" s="30"/>
      <c r="FL60" s="30"/>
      <c r="FM60" s="30"/>
      <c r="FN60" s="30"/>
      <c r="FO60" s="30"/>
      <c r="FP60" s="30"/>
      <c r="FQ60" s="30"/>
      <c r="FR60" s="30"/>
      <c r="FS60" s="30"/>
      <c r="FT60" s="30"/>
      <c r="FU60" s="30"/>
      <c r="FV60" s="30"/>
      <c r="FW60" s="30"/>
      <c r="FX60" s="30"/>
      <c r="FY60" s="30"/>
      <c r="FZ60" s="30"/>
      <c r="GA60" s="30"/>
      <c r="GB60" s="30"/>
      <c r="GC60" s="30"/>
      <c r="GD60" s="30"/>
      <c r="GE60" s="30"/>
      <c r="GF60" s="30"/>
      <c r="GG60" s="30"/>
      <c r="GH60" s="30"/>
      <c r="GI60" s="30"/>
      <c r="GJ60" s="30"/>
      <c r="GK60" s="30"/>
      <c r="GL60" s="30"/>
      <c r="GM60" s="30"/>
      <c r="GN60" s="30"/>
      <c r="GO60" s="30"/>
      <c r="GP60" s="30"/>
      <c r="GQ60" s="30"/>
      <c r="GR60" s="30"/>
      <c r="GS60" s="30"/>
      <c r="GT60" s="30"/>
      <c r="GU60" s="30"/>
      <c r="GV60" s="30"/>
      <c r="GW60" s="30"/>
      <c r="GX60" s="30"/>
      <c r="GY60" s="30"/>
      <c r="GZ60" s="30"/>
      <c r="HA60" s="30"/>
      <c r="HB60" s="30"/>
      <c r="HC60" s="30"/>
      <c r="HD60" s="30"/>
      <c r="HE60" s="30"/>
      <c r="HF60" s="30"/>
      <c r="HG60" s="30"/>
      <c r="HH60" s="30"/>
      <c r="HI60" s="30"/>
      <c r="HJ60" s="30"/>
      <c r="HK60" s="30"/>
      <c r="HL60" s="30"/>
      <c r="HM60" s="30"/>
      <c r="HN60" s="30"/>
      <c r="HO60" s="30"/>
      <c r="HP60" s="30"/>
      <c r="HQ60" s="30"/>
      <c r="HR60" s="30"/>
      <c r="HS60" s="30"/>
      <c r="HT60" s="30"/>
      <c r="HU60" s="30"/>
      <c r="HV60" s="30"/>
      <c r="HW60" s="30"/>
      <c r="HX60" s="30"/>
      <c r="HY60" s="30"/>
      <c r="HZ60" s="30"/>
      <c r="IA60" s="30"/>
      <c r="IB60" s="30"/>
      <c r="IC60" s="30"/>
      <c r="ID60" s="30"/>
      <c r="IE60" s="30"/>
      <c r="IF60" s="30"/>
      <c r="IG60" s="30"/>
      <c r="IH60" s="30"/>
      <c r="II60" s="30"/>
      <c r="IJ60" s="30"/>
      <c r="IK60" s="30"/>
      <c r="IL60" s="30"/>
      <c r="IM60" s="30"/>
      <c r="IN60" s="30"/>
      <c r="IO60" s="30"/>
      <c r="IP60" s="30"/>
      <c r="IQ60" s="30"/>
      <c r="IR60" s="30"/>
      <c r="IS60" s="30"/>
      <c r="IT60" s="30"/>
      <c r="IU60" s="30"/>
    </row>
    <row r="61" s="1" customFormat="1" customHeight="1" spans="1:255">
      <c r="A61" s="22">
        <v>59</v>
      </c>
      <c r="B61" s="16" t="s">
        <v>259</v>
      </c>
      <c r="C61" s="16" t="s">
        <v>260</v>
      </c>
      <c r="D61" s="170" t="s">
        <v>261</v>
      </c>
      <c r="E61" s="60">
        <v>29851</v>
      </c>
      <c r="F61" s="16" t="s">
        <v>233</v>
      </c>
      <c r="G61" s="16">
        <v>43</v>
      </c>
      <c r="H61" s="16">
        <v>13818878153</v>
      </c>
      <c r="I61" s="60">
        <v>45390</v>
      </c>
      <c r="J61" s="54"/>
      <c r="K61" s="54" t="s">
        <v>23</v>
      </c>
      <c r="L61" s="16" t="s">
        <v>262</v>
      </c>
      <c r="M61" s="23" t="str">
        <f ca="1" t="shared" si="2"/>
        <v>2年0个月</v>
      </c>
      <c r="N61" s="16" t="s">
        <v>25</v>
      </c>
      <c r="O61" s="16"/>
      <c r="P61" s="64" t="s">
        <v>238</v>
      </c>
      <c r="Q61" s="28" t="s">
        <v>27</v>
      </c>
      <c r="R61" s="16"/>
      <c r="S61" s="29" t="s">
        <v>27</v>
      </c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6"/>
      <c r="HN61" s="6"/>
      <c r="HO61" s="6"/>
      <c r="HP61" s="6"/>
      <c r="HQ61" s="6"/>
      <c r="HR61" s="6"/>
      <c r="HS61" s="6"/>
      <c r="HT61" s="6"/>
      <c r="HU61" s="6"/>
      <c r="HV61" s="6"/>
      <c r="HW61" s="6"/>
      <c r="HX61" s="6"/>
      <c r="HY61" s="6"/>
      <c r="HZ61" s="6"/>
      <c r="IA61" s="6"/>
      <c r="IB61" s="6"/>
      <c r="IC61" s="6"/>
      <c r="ID61" s="6"/>
      <c r="IE61" s="6"/>
      <c r="IF61" s="6"/>
      <c r="IG61" s="6"/>
      <c r="IH61" s="6"/>
      <c r="II61" s="6"/>
      <c r="IJ61" s="6"/>
      <c r="IK61" s="6"/>
      <c r="IL61" s="6"/>
      <c r="IM61" s="6"/>
      <c r="IN61" s="6"/>
      <c r="IO61" s="6"/>
      <c r="IP61" s="6"/>
      <c r="IQ61" s="6"/>
      <c r="IR61" s="6"/>
      <c r="IS61" s="6"/>
      <c r="IT61" s="6"/>
      <c r="IU61" s="6"/>
    </row>
    <row r="62" s="1" customFormat="1" customHeight="1" spans="1:255">
      <c r="A62" s="22">
        <v>60</v>
      </c>
      <c r="B62" s="16" t="s">
        <v>263</v>
      </c>
      <c r="C62" s="13" t="s">
        <v>264</v>
      </c>
      <c r="D62" s="172" t="s">
        <v>265</v>
      </c>
      <c r="E62" s="68">
        <v>31823</v>
      </c>
      <c r="F62" s="13" t="s">
        <v>226</v>
      </c>
      <c r="G62" s="13">
        <v>38</v>
      </c>
      <c r="H62" s="13">
        <v>13681794671</v>
      </c>
      <c r="I62" s="68">
        <v>45462</v>
      </c>
      <c r="J62" s="13"/>
      <c r="K62" s="69" t="s">
        <v>23</v>
      </c>
      <c r="L62" s="70" t="s">
        <v>266</v>
      </c>
      <c r="M62" s="23" t="str">
        <f ca="1" t="shared" si="2"/>
        <v>1年9个月</v>
      </c>
      <c r="N62" s="16" t="s">
        <v>25</v>
      </c>
      <c r="O62" s="71"/>
      <c r="P62" s="16" t="s">
        <v>238</v>
      </c>
      <c r="Q62" s="16"/>
      <c r="R62" s="16" t="s">
        <v>52</v>
      </c>
      <c r="S62" s="72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  <c r="HN62" s="6"/>
      <c r="HO62" s="6"/>
      <c r="HP62" s="6"/>
      <c r="HQ62" s="6"/>
      <c r="HR62" s="6"/>
      <c r="HS62" s="6"/>
      <c r="HT62" s="6"/>
      <c r="HU62" s="6"/>
      <c r="HV62" s="6"/>
      <c r="HW62" s="6"/>
      <c r="HX62" s="6"/>
      <c r="HY62" s="6"/>
      <c r="HZ62" s="6"/>
      <c r="IA62" s="6"/>
      <c r="IB62" s="6"/>
      <c r="IC62" s="6"/>
      <c r="ID62" s="6"/>
      <c r="IE62" s="6"/>
      <c r="IF62" s="6"/>
      <c r="IG62" s="6"/>
      <c r="IH62" s="6"/>
      <c r="II62" s="6"/>
      <c r="IJ62" s="6"/>
      <c r="IK62" s="6"/>
      <c r="IL62" s="6"/>
      <c r="IM62" s="6"/>
      <c r="IN62" s="6"/>
      <c r="IO62" s="6"/>
      <c r="IP62" s="6"/>
      <c r="IQ62" s="6"/>
      <c r="IR62" s="6"/>
      <c r="IS62" s="6"/>
      <c r="IT62" s="6"/>
      <c r="IU62" s="6"/>
    </row>
    <row r="63" customFormat="1" customHeight="1" spans="1:255">
      <c r="A63" s="22">
        <v>61</v>
      </c>
      <c r="B63" s="16" t="s">
        <v>267</v>
      </c>
      <c r="C63" s="23" t="s">
        <v>268</v>
      </c>
      <c r="D63" s="167" t="s">
        <v>269</v>
      </c>
      <c r="E63" s="31">
        <v>31892</v>
      </c>
      <c r="F63" s="23" t="s">
        <v>226</v>
      </c>
      <c r="G63" s="73">
        <v>38</v>
      </c>
      <c r="H63" s="167" t="s">
        <v>270</v>
      </c>
      <c r="I63" s="31">
        <v>45520</v>
      </c>
      <c r="J63" s="45"/>
      <c r="K63" s="13" t="s">
        <v>70</v>
      </c>
      <c r="L63" s="16"/>
      <c r="M63" s="23" t="str">
        <f ca="1" t="shared" si="2"/>
        <v>1年7个月</v>
      </c>
      <c r="N63" s="16" t="s">
        <v>25</v>
      </c>
      <c r="O63" s="71"/>
      <c r="P63" s="74"/>
      <c r="Q63" s="74"/>
      <c r="R63" s="13" t="s">
        <v>52</v>
      </c>
      <c r="S63" s="75"/>
    </row>
    <row r="64" customFormat="1" customHeight="1" spans="1:255">
      <c r="A64" s="22">
        <v>62</v>
      </c>
      <c r="B64" s="16" t="s">
        <v>271</v>
      </c>
      <c r="C64" s="23" t="s">
        <v>272</v>
      </c>
      <c r="D64" s="167" t="s">
        <v>273</v>
      </c>
      <c r="E64" s="76">
        <v>35415</v>
      </c>
      <c r="F64" s="23" t="s">
        <v>226</v>
      </c>
      <c r="G64" s="73">
        <v>29</v>
      </c>
      <c r="H64" s="73">
        <v>15161997118</v>
      </c>
      <c r="I64" s="76">
        <v>45523</v>
      </c>
      <c r="J64" s="77"/>
      <c r="K64" s="13" t="s">
        <v>56</v>
      </c>
      <c r="L64" s="13" t="s">
        <v>274</v>
      </c>
      <c r="M64" s="23" t="str">
        <f ca="1" t="shared" si="2"/>
        <v>1年7个月</v>
      </c>
      <c r="N64" s="16" t="s">
        <v>25</v>
      </c>
      <c r="O64" s="71"/>
      <c r="P64" s="74"/>
      <c r="Q64" s="74"/>
      <c r="R64" s="13" t="s">
        <v>36</v>
      </c>
      <c r="S64" s="75"/>
    </row>
    <row r="65" s="1" customFormat="1" customHeight="1" spans="1:255">
      <c r="A65" s="22">
        <v>63</v>
      </c>
      <c r="B65" s="16" t="s">
        <v>275</v>
      </c>
      <c r="C65" s="23" t="s">
        <v>276</v>
      </c>
      <c r="D65" s="167" t="s">
        <v>277</v>
      </c>
      <c r="E65" s="31">
        <v>23324</v>
      </c>
      <c r="F65" s="23" t="s">
        <v>233</v>
      </c>
      <c r="G65" s="22">
        <v>61</v>
      </c>
      <c r="H65" s="22">
        <v>15161908700</v>
      </c>
      <c r="I65" s="31">
        <v>45524</v>
      </c>
      <c r="J65" s="45"/>
      <c r="K65" s="16" t="s">
        <v>44</v>
      </c>
      <c r="L65" s="16" t="s">
        <v>278</v>
      </c>
      <c r="M65" s="23" t="str">
        <f ca="1" t="shared" si="2"/>
        <v>1年7个月</v>
      </c>
      <c r="N65" s="16" t="s">
        <v>25</v>
      </c>
      <c r="O65" s="71"/>
      <c r="P65" s="74"/>
      <c r="Q65" s="74"/>
      <c r="R65" s="13" t="s">
        <v>234</v>
      </c>
      <c r="S65" s="75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6"/>
      <c r="HX65" s="6"/>
      <c r="HY65" s="6"/>
      <c r="HZ65" s="6"/>
      <c r="IA65" s="6"/>
      <c r="IB65" s="6"/>
      <c r="IC65" s="6"/>
      <c r="ID65" s="6"/>
      <c r="IE65" s="6"/>
      <c r="IF65" s="6"/>
      <c r="IG65" s="6"/>
      <c r="IH65" s="6"/>
      <c r="II65" s="6"/>
      <c r="IJ65" s="6"/>
      <c r="IK65" s="6"/>
      <c r="IL65" s="6"/>
      <c r="IM65" s="6"/>
      <c r="IN65" s="6"/>
      <c r="IO65" s="6"/>
      <c r="IP65" s="6"/>
      <c r="IQ65" s="6"/>
      <c r="IR65" s="6"/>
      <c r="IS65" s="6"/>
      <c r="IT65" s="6"/>
      <c r="IU65" s="6"/>
    </row>
    <row r="66" s="1" customFormat="1" customHeight="1" spans="1:255">
      <c r="A66" s="22">
        <v>64</v>
      </c>
      <c r="B66" s="16" t="s">
        <v>279</v>
      </c>
      <c r="C66" s="23" t="s">
        <v>280</v>
      </c>
      <c r="D66" s="167" t="s">
        <v>281</v>
      </c>
      <c r="E66" s="31">
        <v>23344</v>
      </c>
      <c r="F66" s="23" t="s">
        <v>226</v>
      </c>
      <c r="G66" s="22">
        <v>61</v>
      </c>
      <c r="H66" s="22">
        <v>18912539335</v>
      </c>
      <c r="I66" s="31">
        <v>45524</v>
      </c>
      <c r="J66" s="45"/>
      <c r="K66" s="16" t="s">
        <v>44</v>
      </c>
      <c r="L66" s="16" t="s">
        <v>278</v>
      </c>
      <c r="M66" s="23" t="str">
        <f ca="1" t="shared" si="2"/>
        <v>1年7个月</v>
      </c>
      <c r="N66" s="16" t="s">
        <v>25</v>
      </c>
      <c r="O66" s="71"/>
      <c r="P66" s="74"/>
      <c r="Q66" s="74"/>
      <c r="R66" s="13" t="s">
        <v>234</v>
      </c>
      <c r="S66" s="75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U66" s="6"/>
      <c r="HV66" s="6"/>
      <c r="HW66" s="6"/>
      <c r="HX66" s="6"/>
      <c r="HY66" s="6"/>
      <c r="HZ66" s="6"/>
      <c r="IA66" s="6"/>
      <c r="IB66" s="6"/>
      <c r="IC66" s="6"/>
      <c r="ID66" s="6"/>
      <c r="IE66" s="6"/>
      <c r="IF66" s="6"/>
      <c r="IG66" s="6"/>
      <c r="IH66" s="6"/>
      <c r="II66" s="6"/>
      <c r="IJ66" s="6"/>
      <c r="IK66" s="6"/>
      <c r="IL66" s="6"/>
      <c r="IM66" s="6"/>
      <c r="IN66" s="6"/>
      <c r="IO66" s="6"/>
      <c r="IP66" s="6"/>
      <c r="IQ66" s="6"/>
      <c r="IR66" s="6"/>
      <c r="IS66" s="6"/>
      <c r="IT66" s="6"/>
      <c r="IU66" s="6"/>
    </row>
    <row r="67" s="1" customFormat="1" customHeight="1" spans="1:255">
      <c r="A67" s="22">
        <v>65</v>
      </c>
      <c r="B67" s="16" t="s">
        <v>282</v>
      </c>
      <c r="C67" s="23" t="s">
        <v>283</v>
      </c>
      <c r="D67" s="173" t="s">
        <v>284</v>
      </c>
      <c r="E67" s="31">
        <v>32866</v>
      </c>
      <c r="F67" s="23" t="s">
        <v>226</v>
      </c>
      <c r="G67" s="73">
        <v>36</v>
      </c>
      <c r="H67" s="73">
        <v>15251068602</v>
      </c>
      <c r="I67" s="76">
        <v>45530</v>
      </c>
      <c r="J67" s="78"/>
      <c r="K67" s="13" t="s">
        <v>70</v>
      </c>
      <c r="L67" s="13" t="s">
        <v>285</v>
      </c>
      <c r="M67" s="23" t="str">
        <f ca="1" t="shared" ref="M67:M79" si="3">DATEDIF(I67,TODAY(),"Y")&amp;"年"&amp;DATEDIF(I67,TODAY(),"YM")&amp;"个月"</f>
        <v>1年7个月</v>
      </c>
      <c r="N67" s="16" t="s">
        <v>25</v>
      </c>
      <c r="O67" s="79"/>
      <c r="P67" s="13" t="s">
        <v>255</v>
      </c>
      <c r="Q67" s="74"/>
      <c r="R67" s="13"/>
      <c r="S67" s="75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  <c r="HL67" s="6"/>
      <c r="HM67" s="6"/>
      <c r="HN67" s="6"/>
      <c r="HO67" s="6"/>
      <c r="HP67" s="6"/>
      <c r="HQ67" s="6"/>
      <c r="HR67" s="6"/>
      <c r="HS67" s="6"/>
      <c r="HT67" s="6"/>
      <c r="HU67" s="6"/>
      <c r="HV67" s="6"/>
      <c r="HW67" s="6"/>
      <c r="HX67" s="6"/>
      <c r="HY67" s="6"/>
      <c r="HZ67" s="6"/>
      <c r="IA67" s="6"/>
      <c r="IB67" s="6"/>
      <c r="IC67" s="6"/>
      <c r="ID67" s="6"/>
      <c r="IE67" s="6"/>
      <c r="IF67" s="6"/>
      <c r="IG67" s="6"/>
      <c r="IH67" s="6"/>
      <c r="II67" s="6"/>
      <c r="IJ67" s="6"/>
      <c r="IK67" s="6"/>
      <c r="IL67" s="6"/>
      <c r="IM67" s="6"/>
      <c r="IN67" s="6"/>
      <c r="IO67" s="6"/>
      <c r="IP67" s="6"/>
      <c r="IQ67" s="6"/>
      <c r="IR67" s="6"/>
      <c r="IS67" s="6"/>
      <c r="IT67" s="6"/>
      <c r="IU67" s="6"/>
    </row>
    <row r="68" s="7" customFormat="1" customHeight="1" spans="1:255">
      <c r="A68" s="22">
        <v>66</v>
      </c>
      <c r="B68" s="80" t="s">
        <v>286</v>
      </c>
      <c r="C68" s="81" t="s">
        <v>287</v>
      </c>
      <c r="D68" s="174" t="s">
        <v>288</v>
      </c>
      <c r="E68" s="82">
        <v>28050</v>
      </c>
      <c r="F68" s="83" t="s">
        <v>233</v>
      </c>
      <c r="G68" s="84">
        <v>48</v>
      </c>
      <c r="H68" s="84">
        <v>17849111825</v>
      </c>
      <c r="I68" s="85">
        <v>45545</v>
      </c>
      <c r="J68" s="86"/>
      <c r="K68" s="83" t="s">
        <v>70</v>
      </c>
      <c r="L68" s="83" t="s">
        <v>289</v>
      </c>
      <c r="M68" s="33" t="str">
        <f ca="1" t="shared" si="3"/>
        <v>1年7个月</v>
      </c>
      <c r="N68" s="16" t="s">
        <v>25</v>
      </c>
      <c r="O68" s="87"/>
      <c r="P68" s="88"/>
      <c r="Q68" s="87"/>
      <c r="R68" s="88" t="s">
        <v>234</v>
      </c>
      <c r="S68" s="89"/>
    </row>
    <row r="69" s="1" customFormat="1" customHeight="1" spans="1:255">
      <c r="A69" s="22">
        <v>67</v>
      </c>
      <c r="B69" s="23" t="s">
        <v>290</v>
      </c>
      <c r="C69" s="13" t="s">
        <v>291</v>
      </c>
      <c r="D69" s="172" t="s">
        <v>292</v>
      </c>
      <c r="E69" s="68">
        <v>29497</v>
      </c>
      <c r="F69" s="13" t="s">
        <v>233</v>
      </c>
      <c r="G69" s="13">
        <v>44</v>
      </c>
      <c r="H69" s="13">
        <v>18651228406</v>
      </c>
      <c r="I69" s="68">
        <v>45560</v>
      </c>
      <c r="J69" s="13"/>
      <c r="K69" s="23" t="s">
        <v>70</v>
      </c>
      <c r="L69" s="13" t="s">
        <v>293</v>
      </c>
      <c r="M69" s="23" t="str">
        <f ca="1" t="shared" si="3"/>
        <v>1年6个月</v>
      </c>
      <c r="N69" s="16" t="s">
        <v>25</v>
      </c>
      <c r="O69" s="71"/>
      <c r="P69" s="13" t="s">
        <v>238</v>
      </c>
      <c r="Q69" s="74"/>
      <c r="R69" s="13"/>
      <c r="S69" s="74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6"/>
      <c r="HX69" s="6"/>
      <c r="HY69" s="6"/>
      <c r="HZ69" s="6"/>
      <c r="IA69" s="6"/>
      <c r="IB69" s="6"/>
      <c r="IC69" s="6"/>
      <c r="ID69" s="6"/>
      <c r="IE69" s="6"/>
      <c r="IF69" s="6"/>
      <c r="IG69" s="6"/>
      <c r="IH69" s="6"/>
      <c r="II69" s="6"/>
      <c r="IJ69" s="6"/>
      <c r="IK69" s="6"/>
      <c r="IL69" s="6"/>
      <c r="IM69" s="6"/>
      <c r="IN69" s="6"/>
      <c r="IO69" s="6"/>
      <c r="IP69" s="6"/>
      <c r="IQ69" s="6"/>
      <c r="IR69" s="6"/>
      <c r="IS69" s="6"/>
      <c r="IT69" s="6"/>
      <c r="IU69" s="6"/>
    </row>
    <row r="70" s="4" customFormat="1" customHeight="1" spans="1:255">
      <c r="A70" s="22">
        <v>68</v>
      </c>
      <c r="B70" s="90" t="s">
        <v>294</v>
      </c>
      <c r="C70" s="90" t="s">
        <v>295</v>
      </c>
      <c r="D70" s="175" t="s">
        <v>296</v>
      </c>
      <c r="E70" s="91">
        <v>35253</v>
      </c>
      <c r="F70" s="90" t="s">
        <v>233</v>
      </c>
      <c r="G70" s="92">
        <v>29</v>
      </c>
      <c r="H70" s="92">
        <v>17561932860</v>
      </c>
      <c r="I70" s="91">
        <v>45569</v>
      </c>
      <c r="J70" s="92"/>
      <c r="K70" s="90" t="s">
        <v>23</v>
      </c>
      <c r="L70" s="90" t="s">
        <v>66</v>
      </c>
      <c r="M70" s="33" t="str">
        <f ca="1" t="shared" si="3"/>
        <v>1年6个月</v>
      </c>
      <c r="N70" s="16" t="s">
        <v>25</v>
      </c>
      <c r="O70" s="37"/>
      <c r="P70" s="88" t="s">
        <v>255</v>
      </c>
      <c r="Q70" s="87"/>
      <c r="R70" s="88" t="s">
        <v>28</v>
      </c>
      <c r="S70" s="87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  <c r="GL70" s="9"/>
      <c r="GM70" s="9"/>
      <c r="GN70" s="9"/>
      <c r="GO70" s="9"/>
      <c r="GP70" s="9"/>
      <c r="GQ70" s="9"/>
      <c r="GR70" s="9"/>
      <c r="GS70" s="9"/>
      <c r="GT70" s="9"/>
      <c r="GU70" s="9"/>
      <c r="GV70" s="9"/>
      <c r="GW70" s="9"/>
      <c r="GX70" s="9"/>
      <c r="GY70" s="9"/>
      <c r="GZ70" s="9"/>
      <c r="HA70" s="9"/>
      <c r="HB70" s="9"/>
      <c r="HC70" s="9"/>
      <c r="HD70" s="9"/>
      <c r="HE70" s="9"/>
      <c r="HF70" s="9"/>
      <c r="HG70" s="9"/>
      <c r="HH70" s="9"/>
      <c r="HI70" s="9"/>
      <c r="HJ70" s="9"/>
      <c r="HK70" s="9"/>
      <c r="HL70" s="9"/>
      <c r="HM70" s="9"/>
      <c r="HN70" s="9"/>
      <c r="HO70" s="9"/>
      <c r="HP70" s="9"/>
      <c r="HQ70" s="9"/>
      <c r="HR70" s="9"/>
      <c r="HS70" s="9"/>
      <c r="HT70" s="9"/>
      <c r="HU70" s="9"/>
      <c r="HV70" s="9"/>
      <c r="HW70" s="9"/>
      <c r="HX70" s="9"/>
      <c r="HY70" s="9"/>
      <c r="HZ70" s="9"/>
      <c r="IA70" s="9"/>
      <c r="IB70" s="9"/>
      <c r="IC70" s="9"/>
      <c r="ID70" s="9"/>
      <c r="IE70" s="9"/>
      <c r="IF70" s="9"/>
      <c r="IG70" s="9"/>
      <c r="IH70" s="9"/>
      <c r="II70" s="9"/>
      <c r="IJ70" s="9"/>
      <c r="IK70" s="9"/>
      <c r="IL70" s="9"/>
      <c r="IM70" s="9"/>
      <c r="IN70" s="9"/>
      <c r="IO70" s="9"/>
      <c r="IP70" s="9"/>
      <c r="IQ70" s="9"/>
      <c r="IR70" s="9"/>
      <c r="IS70" s="9"/>
      <c r="IT70" s="9"/>
      <c r="IU70" s="9"/>
    </row>
    <row r="71" customFormat="1" customHeight="1" spans="1:255">
      <c r="A71" s="22">
        <v>69</v>
      </c>
      <c r="B71" s="61" t="s">
        <v>297</v>
      </c>
      <c r="C71" s="13" t="s">
        <v>298</v>
      </c>
      <c r="D71" s="172" t="s">
        <v>299</v>
      </c>
      <c r="E71" s="68">
        <v>33874</v>
      </c>
      <c r="F71" s="13" t="s">
        <v>233</v>
      </c>
      <c r="G71" s="13">
        <v>32</v>
      </c>
      <c r="H71" s="13">
        <v>18651539435</v>
      </c>
      <c r="I71" s="68">
        <v>45586</v>
      </c>
      <c r="J71" s="74"/>
      <c r="K71" s="23" t="s">
        <v>70</v>
      </c>
      <c r="L71" s="13" t="s">
        <v>300</v>
      </c>
      <c r="M71" s="23" t="str">
        <f ca="1" t="shared" si="3"/>
        <v>1年5个月</v>
      </c>
      <c r="N71" s="16" t="s">
        <v>25</v>
      </c>
      <c r="O71" s="93"/>
      <c r="P71" s="94" t="s">
        <v>255</v>
      </c>
      <c r="Q71" s="74"/>
      <c r="R71" s="13" t="s">
        <v>52</v>
      </c>
      <c r="S71" s="74"/>
    </row>
    <row r="72" customFormat="1" customHeight="1" spans="1:255">
      <c r="A72" s="22">
        <v>70</v>
      </c>
      <c r="B72" s="61" t="s">
        <v>301</v>
      </c>
      <c r="C72" s="94" t="s">
        <v>302</v>
      </c>
      <c r="D72" s="176" t="s">
        <v>303</v>
      </c>
      <c r="E72" s="95">
        <v>32941</v>
      </c>
      <c r="F72" s="94" t="s">
        <v>226</v>
      </c>
      <c r="G72" s="94">
        <v>35</v>
      </c>
      <c r="H72" s="94">
        <v>15371243068</v>
      </c>
      <c r="I72" s="95">
        <v>45636</v>
      </c>
      <c r="J72" s="94"/>
      <c r="K72" s="94" t="s">
        <v>70</v>
      </c>
      <c r="L72" s="94" t="s">
        <v>109</v>
      </c>
      <c r="M72" s="61" t="str">
        <f ca="1" t="shared" si="3"/>
        <v>1年4个月</v>
      </c>
      <c r="N72" s="16" t="s">
        <v>25</v>
      </c>
      <c r="O72" s="93"/>
      <c r="P72" s="94" t="s">
        <v>255</v>
      </c>
      <c r="Q72" s="93"/>
      <c r="R72" s="94" t="s">
        <v>304</v>
      </c>
      <c r="S72" s="96"/>
    </row>
    <row r="73" s="8" customFormat="1" customHeight="1" spans="1:255">
      <c r="A73" s="22">
        <v>71</v>
      </c>
      <c r="B73" s="97" t="s">
        <v>305</v>
      </c>
      <c r="C73" s="98" t="s">
        <v>306</v>
      </c>
      <c r="D73" s="177" t="s">
        <v>307</v>
      </c>
      <c r="E73" s="99">
        <v>33745</v>
      </c>
      <c r="F73" s="98" t="s">
        <v>233</v>
      </c>
      <c r="G73" s="98">
        <v>33</v>
      </c>
      <c r="H73" s="98">
        <v>17895023861</v>
      </c>
      <c r="I73" s="99">
        <v>45666</v>
      </c>
      <c r="J73" s="100"/>
      <c r="K73" s="100" t="s">
        <v>70</v>
      </c>
      <c r="L73" s="98" t="s">
        <v>308</v>
      </c>
      <c r="M73" s="97" t="str">
        <f ca="1" t="shared" si="3"/>
        <v>1年3个月</v>
      </c>
      <c r="N73" s="16" t="s">
        <v>25</v>
      </c>
      <c r="O73" s="100"/>
      <c r="P73" s="98" t="s">
        <v>255</v>
      </c>
      <c r="Q73" s="100"/>
      <c r="R73" s="98" t="s">
        <v>304</v>
      </c>
      <c r="S73" s="100"/>
    </row>
    <row r="74" s="8" customFormat="1" customHeight="1" spans="1:255">
      <c r="A74" s="22">
        <v>72</v>
      </c>
      <c r="B74" s="97" t="s">
        <v>309</v>
      </c>
      <c r="C74" s="98" t="s">
        <v>310</v>
      </c>
      <c r="D74" s="177" t="s">
        <v>311</v>
      </c>
      <c r="E74" s="99">
        <v>33201</v>
      </c>
      <c r="F74" s="98" t="s">
        <v>233</v>
      </c>
      <c r="G74" s="98">
        <v>36</v>
      </c>
      <c r="H74" s="98">
        <v>18036299528</v>
      </c>
      <c r="I74" s="99">
        <v>45694</v>
      </c>
      <c r="J74" s="98"/>
      <c r="K74" s="98" t="s">
        <v>70</v>
      </c>
      <c r="L74" s="98" t="s">
        <v>312</v>
      </c>
      <c r="M74" s="97" t="str">
        <f ca="1" t="shared" si="3"/>
        <v>1年2个月</v>
      </c>
      <c r="N74" s="16" t="s">
        <v>25</v>
      </c>
      <c r="O74" s="100"/>
      <c r="P74" s="98" t="s">
        <v>255</v>
      </c>
      <c r="Q74" s="100"/>
      <c r="R74" s="98" t="s">
        <v>304</v>
      </c>
      <c r="S74" s="100"/>
    </row>
    <row r="75" s="8" customFormat="1" customHeight="1" spans="1:255">
      <c r="A75" s="22">
        <v>73</v>
      </c>
      <c r="B75" s="97" t="s">
        <v>313</v>
      </c>
      <c r="C75" s="98" t="s">
        <v>314</v>
      </c>
      <c r="D75" s="177" t="s">
        <v>315</v>
      </c>
      <c r="E75" s="99">
        <v>33551</v>
      </c>
      <c r="F75" s="98" t="s">
        <v>226</v>
      </c>
      <c r="G75" s="98">
        <v>34</v>
      </c>
      <c r="H75" s="98">
        <v>13816502120</v>
      </c>
      <c r="I75" s="99">
        <v>45694</v>
      </c>
      <c r="J75" s="101"/>
      <c r="K75" s="101" t="s">
        <v>70</v>
      </c>
      <c r="L75" s="97" t="s">
        <v>300</v>
      </c>
      <c r="M75" s="97" t="str">
        <f ca="1" t="shared" si="3"/>
        <v>1年2个月</v>
      </c>
      <c r="N75" s="16" t="s">
        <v>25</v>
      </c>
      <c r="O75" s="100"/>
      <c r="P75" s="98" t="s">
        <v>255</v>
      </c>
      <c r="Q75" s="100"/>
      <c r="R75" s="98" t="s">
        <v>304</v>
      </c>
      <c r="S75" s="100"/>
    </row>
    <row r="76" customFormat="1" customHeight="1" spans="1:255">
      <c r="A76" s="22">
        <v>74</v>
      </c>
      <c r="B76" s="102" t="s">
        <v>316</v>
      </c>
      <c r="C76" s="103" t="s">
        <v>317</v>
      </c>
      <c r="D76" s="178" t="s">
        <v>318</v>
      </c>
      <c r="E76" s="104">
        <v>26922</v>
      </c>
      <c r="F76" s="103" t="s">
        <v>226</v>
      </c>
      <c r="G76" s="105">
        <v>52</v>
      </c>
      <c r="H76" s="105">
        <v>15793739202</v>
      </c>
      <c r="I76" s="104">
        <v>45698</v>
      </c>
      <c r="J76" s="106"/>
      <c r="K76" s="107" t="s">
        <v>44</v>
      </c>
      <c r="L76" s="108" t="s">
        <v>319</v>
      </c>
      <c r="M76" s="108" t="str">
        <f ca="1" t="shared" si="3"/>
        <v>1年2个月</v>
      </c>
      <c r="N76" s="16" t="s">
        <v>25</v>
      </c>
      <c r="O76" s="69"/>
      <c r="P76" s="70"/>
      <c r="Q76" s="69"/>
      <c r="R76" s="109"/>
      <c r="S76" s="69"/>
    </row>
    <row r="77" s="9" customFormat="1" customHeight="1" spans="1:255">
      <c r="A77" s="22">
        <v>75</v>
      </c>
      <c r="B77" s="110" t="s">
        <v>320</v>
      </c>
      <c r="C77" s="111" t="s">
        <v>321</v>
      </c>
      <c r="D77" s="179" t="s">
        <v>322</v>
      </c>
      <c r="E77" s="112">
        <v>33043</v>
      </c>
      <c r="F77" s="111" t="s">
        <v>233</v>
      </c>
      <c r="G77" s="113">
        <v>36</v>
      </c>
      <c r="H77" s="114">
        <v>15051321230</v>
      </c>
      <c r="I77" s="82">
        <v>45715</v>
      </c>
      <c r="J77" s="115"/>
      <c r="K77" s="116" t="s">
        <v>44</v>
      </c>
      <c r="L77" s="110" t="s">
        <v>323</v>
      </c>
      <c r="M77" s="33" t="str">
        <f ca="1" t="shared" si="3"/>
        <v>1年1个月</v>
      </c>
      <c r="N77" s="16" t="s">
        <v>25</v>
      </c>
      <c r="O77" s="113"/>
      <c r="P77" s="37" t="s">
        <v>255</v>
      </c>
      <c r="Q77" s="37"/>
      <c r="R77" s="40" t="s">
        <v>28</v>
      </c>
      <c r="S77" s="37"/>
    </row>
    <row r="78" customFormat="1" customHeight="1" spans="1:255">
      <c r="A78" s="22">
        <v>76</v>
      </c>
      <c r="B78" s="61" t="s">
        <v>324</v>
      </c>
      <c r="C78" s="94" t="s">
        <v>325</v>
      </c>
      <c r="D78" s="176" t="s">
        <v>326</v>
      </c>
      <c r="E78" s="95">
        <v>32817</v>
      </c>
      <c r="F78" s="94" t="s">
        <v>226</v>
      </c>
      <c r="G78" s="94">
        <v>37</v>
      </c>
      <c r="H78" s="94">
        <v>18052933016</v>
      </c>
      <c r="I78" s="95">
        <v>45749</v>
      </c>
      <c r="J78" s="94"/>
      <c r="K78" s="94" t="s">
        <v>70</v>
      </c>
      <c r="L78" s="94" t="s">
        <v>109</v>
      </c>
      <c r="M78" s="61" t="str">
        <f ca="1" t="shared" si="3"/>
        <v>1年0个月</v>
      </c>
      <c r="N78" s="16" t="s">
        <v>25</v>
      </c>
      <c r="O78" s="93"/>
      <c r="P78" s="13" t="s">
        <v>255</v>
      </c>
      <c r="Q78" s="74"/>
      <c r="R78" s="117" t="s">
        <v>304</v>
      </c>
      <c r="S78" s="74"/>
    </row>
    <row r="79" customFormat="1" customHeight="1" spans="1:255">
      <c r="A79" s="22">
        <v>77</v>
      </c>
      <c r="B79" s="118" t="s">
        <v>327</v>
      </c>
      <c r="C79" s="119" t="s">
        <v>328</v>
      </c>
      <c r="D79" s="172" t="s">
        <v>329</v>
      </c>
      <c r="E79" s="68">
        <v>31144</v>
      </c>
      <c r="F79" s="13" t="s">
        <v>233</v>
      </c>
      <c r="G79" s="13">
        <v>41</v>
      </c>
      <c r="H79" s="13">
        <v>18133170661</v>
      </c>
      <c r="I79" s="68">
        <v>45806</v>
      </c>
      <c r="J79" s="13"/>
      <c r="K79" s="13" t="s">
        <v>70</v>
      </c>
      <c r="L79" s="13" t="s">
        <v>330</v>
      </c>
      <c r="M79" s="118" t="str">
        <f ca="1" t="shared" si="3"/>
        <v>0年10个月</v>
      </c>
      <c r="N79" s="16" t="s">
        <v>25</v>
      </c>
      <c r="O79" s="74"/>
      <c r="P79" s="13" t="s">
        <v>255</v>
      </c>
      <c r="Q79" s="74" t="s">
        <v>27</v>
      </c>
      <c r="R79" s="117" t="s">
        <v>28</v>
      </c>
      <c r="S79" s="74"/>
    </row>
    <row r="80" customFormat="1" customHeight="1" spans="1:255">
      <c r="A80" s="22">
        <v>78</v>
      </c>
      <c r="B80" s="120" t="s">
        <v>331</v>
      </c>
      <c r="C80" s="121" t="s">
        <v>332</v>
      </c>
      <c r="D80" s="172" t="s">
        <v>333</v>
      </c>
      <c r="E80" s="68">
        <v>33165</v>
      </c>
      <c r="F80" s="13" t="s">
        <v>233</v>
      </c>
      <c r="G80" s="13">
        <v>36</v>
      </c>
      <c r="H80" s="13">
        <v>18916928705</v>
      </c>
      <c r="I80" s="68">
        <v>45817</v>
      </c>
      <c r="J80" s="13"/>
      <c r="K80" s="13" t="s">
        <v>70</v>
      </c>
      <c r="L80" s="13" t="s">
        <v>334</v>
      </c>
      <c r="M80" s="23" t="s">
        <v>335</v>
      </c>
      <c r="N80" s="16" t="s">
        <v>25</v>
      </c>
      <c r="O80" s="74"/>
      <c r="P80" s="13" t="s">
        <v>255</v>
      </c>
      <c r="Q80" s="74"/>
      <c r="R80" s="117" t="s">
        <v>32</v>
      </c>
      <c r="S80" s="74"/>
    </row>
    <row r="81" customFormat="1" customHeight="1" spans="1:72">
      <c r="A81" s="22">
        <v>79</v>
      </c>
      <c r="B81" s="120" t="s">
        <v>336</v>
      </c>
      <c r="C81" s="94" t="s">
        <v>337</v>
      </c>
      <c r="D81" s="176" t="s">
        <v>338</v>
      </c>
      <c r="E81" s="95">
        <v>30425</v>
      </c>
      <c r="F81" s="94" t="s">
        <v>233</v>
      </c>
      <c r="G81" s="94">
        <v>42</v>
      </c>
      <c r="H81" s="94">
        <v>15251151266</v>
      </c>
      <c r="I81" s="95">
        <v>45861</v>
      </c>
      <c r="J81" s="94"/>
      <c r="K81" s="94" t="s">
        <v>70</v>
      </c>
      <c r="L81" s="94" t="s">
        <v>92</v>
      </c>
      <c r="M81" s="61" t="str">
        <f ca="1" t="shared" ref="M81:M95" si="4">DATEDIF(I81,TODAY(),"Y")&amp;"年"&amp;DATEDIF(I81,TODAY(),"YM")&amp;"个月"</f>
        <v>0年8个月</v>
      </c>
      <c r="N81" s="16" t="s">
        <v>25</v>
      </c>
      <c r="O81" s="74"/>
      <c r="P81" s="74" t="s">
        <v>255</v>
      </c>
      <c r="Q81" s="122"/>
      <c r="R81" s="123" t="s">
        <v>28</v>
      </c>
      <c r="S81" s="74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</row>
    <row r="82" customFormat="1" customHeight="1" spans="1:72">
      <c r="A82" s="22">
        <v>80</v>
      </c>
      <c r="B82" s="23" t="s">
        <v>339</v>
      </c>
      <c r="C82" s="13" t="s">
        <v>340</v>
      </c>
      <c r="D82" s="172" t="s">
        <v>341</v>
      </c>
      <c r="E82" s="68">
        <v>25195</v>
      </c>
      <c r="F82" s="13" t="s">
        <v>233</v>
      </c>
      <c r="G82" s="13">
        <v>57</v>
      </c>
      <c r="H82" s="13">
        <v>16583693127</v>
      </c>
      <c r="I82" s="68">
        <v>45863</v>
      </c>
      <c r="J82" s="13"/>
      <c r="K82" s="13" t="s">
        <v>70</v>
      </c>
      <c r="L82" s="13" t="s">
        <v>156</v>
      </c>
      <c r="M82" s="23" t="str">
        <f ca="1" t="shared" si="4"/>
        <v>0年8个月</v>
      </c>
      <c r="N82" s="16" t="s">
        <v>25</v>
      </c>
      <c r="O82" s="74"/>
      <c r="P82" s="74"/>
      <c r="Q82" s="74"/>
      <c r="R82" s="117"/>
      <c r="S82" s="74"/>
    </row>
    <row r="83" customFormat="1" customHeight="1" spans="1:72">
      <c r="A83" s="22">
        <v>81</v>
      </c>
      <c r="B83" s="23" t="s">
        <v>342</v>
      </c>
      <c r="C83" s="98" t="s">
        <v>343</v>
      </c>
      <c r="D83" s="177" t="s">
        <v>344</v>
      </c>
      <c r="E83" s="99">
        <v>32128</v>
      </c>
      <c r="F83" s="98" t="s">
        <v>226</v>
      </c>
      <c r="G83" s="98">
        <v>38</v>
      </c>
      <c r="H83" s="98">
        <v>13236295669</v>
      </c>
      <c r="I83" s="99">
        <v>45879</v>
      </c>
      <c r="J83" s="98"/>
      <c r="K83" s="98" t="s">
        <v>70</v>
      </c>
      <c r="L83" s="98" t="s">
        <v>243</v>
      </c>
      <c r="M83" s="23" t="str">
        <f ca="1" t="shared" si="4"/>
        <v>0年8个月</v>
      </c>
      <c r="N83" s="16" t="s">
        <v>25</v>
      </c>
      <c r="O83" s="100"/>
      <c r="P83" s="100"/>
      <c r="Q83" s="100"/>
      <c r="R83" s="124"/>
      <c r="S83" s="100"/>
    </row>
    <row r="84" customFormat="1" customHeight="1" spans="1:72">
      <c r="A84" s="22">
        <v>82</v>
      </c>
      <c r="B84" s="23" t="s">
        <v>345</v>
      </c>
      <c r="C84" s="98" t="s">
        <v>346</v>
      </c>
      <c r="D84" s="177" t="s">
        <v>347</v>
      </c>
      <c r="E84" s="99">
        <v>27799</v>
      </c>
      <c r="F84" s="98" t="s">
        <v>226</v>
      </c>
      <c r="G84" s="98">
        <v>49</v>
      </c>
      <c r="H84" s="98">
        <v>18921800942</v>
      </c>
      <c r="I84" s="99">
        <v>45887</v>
      </c>
      <c r="J84" s="98"/>
      <c r="K84" s="98" t="s">
        <v>194</v>
      </c>
      <c r="L84" s="98" t="s">
        <v>109</v>
      </c>
      <c r="M84" s="23" t="str">
        <f ca="1" t="shared" si="4"/>
        <v>0年7个月</v>
      </c>
      <c r="N84" s="16" t="s">
        <v>25</v>
      </c>
      <c r="O84" s="100"/>
      <c r="P84" s="100"/>
      <c r="Q84" s="100"/>
      <c r="R84" s="124"/>
      <c r="S84" s="100"/>
    </row>
    <row r="85" customFormat="1" customHeight="1" spans="1:72">
      <c r="A85" s="22">
        <v>83</v>
      </c>
      <c r="B85" s="23" t="s">
        <v>348</v>
      </c>
      <c r="C85" s="98" t="s">
        <v>349</v>
      </c>
      <c r="D85" s="177" t="s">
        <v>350</v>
      </c>
      <c r="E85" s="99">
        <v>30922</v>
      </c>
      <c r="F85" s="98" t="s">
        <v>226</v>
      </c>
      <c r="G85" s="98">
        <v>41</v>
      </c>
      <c r="H85" s="98">
        <v>15151064580</v>
      </c>
      <c r="I85" s="99">
        <v>45894</v>
      </c>
      <c r="J85" s="98"/>
      <c r="K85" s="98" t="s">
        <v>70</v>
      </c>
      <c r="L85" s="98" t="s">
        <v>243</v>
      </c>
      <c r="M85" s="23" t="str">
        <f ca="1" t="shared" si="4"/>
        <v>0年7个月</v>
      </c>
      <c r="N85" s="16" t="s">
        <v>25</v>
      </c>
      <c r="O85" s="100"/>
      <c r="P85" s="100"/>
      <c r="Q85" s="100"/>
      <c r="R85" s="124"/>
      <c r="S85" s="100"/>
    </row>
    <row r="86" customFormat="1" customHeight="1" spans="1:72">
      <c r="A86" s="22">
        <v>84</v>
      </c>
      <c r="B86" s="23" t="s">
        <v>351</v>
      </c>
      <c r="C86" s="98" t="s">
        <v>352</v>
      </c>
      <c r="D86" s="177" t="s">
        <v>353</v>
      </c>
      <c r="E86" s="99">
        <v>27808</v>
      </c>
      <c r="F86" s="98" t="s">
        <v>226</v>
      </c>
      <c r="G86" s="98">
        <v>49</v>
      </c>
      <c r="H86" s="98">
        <v>15251157728</v>
      </c>
      <c r="I86" s="99">
        <v>45889</v>
      </c>
      <c r="J86" s="98"/>
      <c r="K86" s="98" t="s">
        <v>70</v>
      </c>
      <c r="L86" s="98" t="s">
        <v>92</v>
      </c>
      <c r="M86" s="23" t="str">
        <f ca="1" t="shared" si="4"/>
        <v>0年7个月</v>
      </c>
      <c r="N86" s="16" t="s">
        <v>25</v>
      </c>
      <c r="O86" s="100"/>
      <c r="S86" s="74"/>
    </row>
    <row r="87" s="10" customFormat="1" customHeight="1" spans="1:72">
      <c r="A87" s="22">
        <v>86</v>
      </c>
      <c r="B87" s="64" t="s">
        <v>354</v>
      </c>
      <c r="C87" s="125" t="s">
        <v>355</v>
      </c>
      <c r="D87" s="180" t="s">
        <v>356</v>
      </c>
      <c r="E87" s="126">
        <v>33574</v>
      </c>
      <c r="F87" s="125" t="s">
        <v>233</v>
      </c>
      <c r="G87" s="127">
        <v>35</v>
      </c>
      <c r="H87" s="127">
        <v>13813037887</v>
      </c>
      <c r="I87" s="128">
        <v>45922</v>
      </c>
      <c r="J87" s="127"/>
      <c r="K87" s="127" t="s">
        <v>70</v>
      </c>
      <c r="L87" s="127" t="s">
        <v>357</v>
      </c>
      <c r="M87" s="64" t="str">
        <f ca="1" t="shared" si="4"/>
        <v>0年6个月</v>
      </c>
      <c r="N87" s="129" t="s">
        <v>25</v>
      </c>
      <c r="O87" s="130"/>
      <c r="P87" s="130" t="s">
        <v>255</v>
      </c>
      <c r="Q87" s="130"/>
      <c r="R87" s="131"/>
      <c r="S87" s="130"/>
    </row>
    <row r="88" customFormat="1" customHeight="1" spans="1:72">
      <c r="A88" s="22">
        <v>87</v>
      </c>
      <c r="B88" s="23" t="s">
        <v>358</v>
      </c>
      <c r="C88" s="98" t="s">
        <v>359</v>
      </c>
      <c r="D88" s="177" t="s">
        <v>360</v>
      </c>
      <c r="E88" s="99">
        <v>25070</v>
      </c>
      <c r="F88" s="98" t="s">
        <v>233</v>
      </c>
      <c r="G88" s="98">
        <v>57</v>
      </c>
      <c r="H88" s="98">
        <v>15962028551</v>
      </c>
      <c r="I88" s="99">
        <v>45940</v>
      </c>
      <c r="J88" s="98"/>
      <c r="K88" s="98" t="s">
        <v>70</v>
      </c>
      <c r="L88" s="98" t="s">
        <v>361</v>
      </c>
      <c r="M88" s="23" t="str">
        <f ca="1" t="shared" si="4"/>
        <v>0年6个月</v>
      </c>
      <c r="N88" s="16" t="s">
        <v>25</v>
      </c>
      <c r="O88" s="100"/>
      <c r="P88" s="100"/>
      <c r="Q88" s="100"/>
      <c r="R88" s="124"/>
      <c r="S88" s="100"/>
    </row>
    <row r="89" s="10" customFormat="1" customHeight="1" spans="1:72">
      <c r="A89" s="22">
        <v>89</v>
      </c>
      <c r="B89" s="64" t="s">
        <v>362</v>
      </c>
      <c r="C89" s="125" t="s">
        <v>363</v>
      </c>
      <c r="D89" s="180" t="s">
        <v>364</v>
      </c>
      <c r="E89" s="126">
        <v>29143</v>
      </c>
      <c r="F89" s="125" t="s">
        <v>233</v>
      </c>
      <c r="G89" s="125">
        <v>46</v>
      </c>
      <c r="H89" s="125">
        <v>18361183958</v>
      </c>
      <c r="I89" s="126">
        <v>45950</v>
      </c>
      <c r="J89" s="132"/>
      <c r="K89" s="127" t="s">
        <v>70</v>
      </c>
      <c r="L89" s="125" t="s">
        <v>156</v>
      </c>
      <c r="M89" s="64" t="str">
        <f ca="1" t="shared" si="4"/>
        <v>0年5个月</v>
      </c>
      <c r="N89" s="16" t="s">
        <v>25</v>
      </c>
      <c r="O89" s="132"/>
      <c r="P89" s="132"/>
      <c r="Q89" s="132"/>
      <c r="R89" s="132"/>
      <c r="S89" s="133"/>
    </row>
    <row r="90" s="10" customFormat="1" customHeight="1" spans="1:72">
      <c r="A90" s="22">
        <v>90</v>
      </c>
      <c r="B90" s="64" t="s">
        <v>365</v>
      </c>
      <c r="C90" s="127" t="s">
        <v>366</v>
      </c>
      <c r="D90" s="181" t="s">
        <v>367</v>
      </c>
      <c r="E90" s="128">
        <v>33115</v>
      </c>
      <c r="F90" s="127" t="s">
        <v>233</v>
      </c>
      <c r="G90" s="127">
        <v>36</v>
      </c>
      <c r="H90" s="127">
        <v>15195159087</v>
      </c>
      <c r="I90" s="128">
        <v>45961</v>
      </c>
      <c r="J90" s="130"/>
      <c r="K90" s="127" t="s">
        <v>70</v>
      </c>
      <c r="L90" s="127" t="s">
        <v>334</v>
      </c>
      <c r="M90" s="64" t="str">
        <f ca="1" t="shared" si="4"/>
        <v>0年5个月</v>
      </c>
      <c r="N90" s="16" t="s">
        <v>25</v>
      </c>
      <c r="O90" s="130"/>
      <c r="P90" s="130"/>
      <c r="Q90" s="130"/>
      <c r="R90" s="130"/>
      <c r="S90" s="134"/>
    </row>
    <row r="91" s="11" customFormat="1" customHeight="1" spans="1:72">
      <c r="A91" s="22">
        <v>91</v>
      </c>
      <c r="B91" s="64" t="s">
        <v>368</v>
      </c>
      <c r="C91" s="135" t="s">
        <v>369</v>
      </c>
      <c r="D91" s="182" t="s">
        <v>370</v>
      </c>
      <c r="E91" s="136">
        <v>38715</v>
      </c>
      <c r="F91" s="127" t="s">
        <v>233</v>
      </c>
      <c r="G91" s="137">
        <v>20</v>
      </c>
      <c r="H91" s="138">
        <v>18936332321</v>
      </c>
      <c r="I91" s="139">
        <v>45979</v>
      </c>
      <c r="J91" s="140"/>
      <c r="K91" s="141" t="s">
        <v>70</v>
      </c>
      <c r="L91" s="140"/>
      <c r="M91" s="64" t="str">
        <f ca="1" t="shared" si="4"/>
        <v>0年4个月</v>
      </c>
      <c r="N91" s="16" t="s">
        <v>25</v>
      </c>
      <c r="O91" s="140"/>
      <c r="P91" s="140"/>
      <c r="Q91" s="140"/>
      <c r="R91" s="140"/>
      <c r="S91" s="142"/>
    </row>
    <row r="92" s="11" customFormat="1" customHeight="1" spans="1:72">
      <c r="A92" s="22">
        <v>92</v>
      </c>
      <c r="B92" s="64" t="s">
        <v>371</v>
      </c>
      <c r="C92" s="135" t="s">
        <v>372</v>
      </c>
      <c r="D92" s="183" t="s">
        <v>373</v>
      </c>
      <c r="E92" s="136">
        <v>38638</v>
      </c>
      <c r="F92" s="127" t="s">
        <v>233</v>
      </c>
      <c r="G92" s="137">
        <v>20</v>
      </c>
      <c r="H92" s="138">
        <v>19516513956</v>
      </c>
      <c r="I92" s="139">
        <v>45979</v>
      </c>
      <c r="J92" s="140"/>
      <c r="K92" s="141" t="s">
        <v>70</v>
      </c>
      <c r="L92" s="140"/>
      <c r="M92" s="64" t="str">
        <f ca="1" t="shared" si="4"/>
        <v>0年4个月</v>
      </c>
      <c r="N92" s="16" t="s">
        <v>25</v>
      </c>
      <c r="O92" s="140"/>
      <c r="P92" s="140"/>
      <c r="Q92" s="140"/>
      <c r="R92" s="140"/>
      <c r="S92" s="142"/>
    </row>
    <row r="93" s="12" customFormat="1" customHeight="1" spans="1:72">
      <c r="A93" s="22">
        <v>94</v>
      </c>
      <c r="B93" s="144" t="s">
        <v>374</v>
      </c>
      <c r="C93" s="145" t="s">
        <v>375</v>
      </c>
      <c r="D93" s="184" t="s">
        <v>376</v>
      </c>
      <c r="E93" s="146">
        <v>32713</v>
      </c>
      <c r="F93" s="145" t="s">
        <v>233</v>
      </c>
      <c r="G93" s="145">
        <v>37</v>
      </c>
      <c r="H93" s="145">
        <v>15761595447</v>
      </c>
      <c r="I93" s="146">
        <v>46021</v>
      </c>
      <c r="J93" s="145"/>
      <c r="K93" s="145" t="s">
        <v>70</v>
      </c>
      <c r="L93" s="145" t="s">
        <v>92</v>
      </c>
      <c r="M93" s="144" t="str">
        <f ca="1" t="shared" si="4"/>
        <v>0年3个月</v>
      </c>
      <c r="N93" s="16" t="s">
        <v>25</v>
      </c>
      <c r="O93" s="145"/>
      <c r="P93" s="145"/>
      <c r="Q93" s="145"/>
      <c r="R93" s="145"/>
      <c r="S93" s="147"/>
    </row>
    <row r="94" customFormat="1" customHeight="1" spans="1:72">
      <c r="A94" s="22">
        <v>95</v>
      </c>
      <c r="B94" s="64" t="s">
        <v>377</v>
      </c>
      <c r="C94" s="13" t="s">
        <v>378</v>
      </c>
      <c r="D94" s="172" t="s">
        <v>379</v>
      </c>
      <c r="E94" s="68">
        <v>38586</v>
      </c>
      <c r="F94" s="13" t="s">
        <v>226</v>
      </c>
      <c r="G94" s="13">
        <v>21</v>
      </c>
      <c r="H94" s="13">
        <v>13962021568</v>
      </c>
      <c r="I94" s="68">
        <v>46028</v>
      </c>
      <c r="J94" s="13"/>
      <c r="K94" s="13" t="s">
        <v>70</v>
      </c>
      <c r="L94" s="13" t="s">
        <v>380</v>
      </c>
      <c r="M94" s="23" t="str">
        <f ca="1" t="shared" si="4"/>
        <v>0年3个月</v>
      </c>
      <c r="N94" s="16" t="s">
        <v>25</v>
      </c>
      <c r="O94" s="74"/>
      <c r="P94" s="74"/>
      <c r="Q94" s="148"/>
      <c r="R94" s="148"/>
      <c r="S94" s="149"/>
    </row>
    <row r="95" customFormat="1" customHeight="1" spans="1:72">
      <c r="A95" s="22">
        <v>105</v>
      </c>
      <c r="B95" s="23" t="s">
        <v>381</v>
      </c>
      <c r="C95" s="98" t="s">
        <v>382</v>
      </c>
      <c r="D95" s="177" t="s">
        <v>383</v>
      </c>
      <c r="E95" s="150">
        <v>30505</v>
      </c>
      <c r="F95" s="151" t="s">
        <v>226</v>
      </c>
      <c r="G95" s="151">
        <v>42</v>
      </c>
      <c r="H95" s="151">
        <v>18262370787</v>
      </c>
      <c r="I95" s="152">
        <v>46075</v>
      </c>
      <c r="J95" s="151"/>
      <c r="K95" s="151" t="s">
        <v>243</v>
      </c>
      <c r="L95" s="118"/>
      <c r="M95" s="23" t="str">
        <f ca="1" t="shared" si="4"/>
        <v>0年1个月</v>
      </c>
      <c r="N95" s="98"/>
      <c r="O95" s="98"/>
      <c r="P95" s="100"/>
      <c r="Q95" s="100"/>
      <c r="R95" s="100"/>
      <c r="S95" s="153"/>
    </row>
    <row r="96" customFormat="1" customHeight="1" spans="1:72">
      <c r="A96" s="154">
        <v>96</v>
      </c>
      <c r="B96" s="144" t="s">
        <v>384</v>
      </c>
      <c r="C96" s="121" t="s">
        <v>385</v>
      </c>
      <c r="D96" s="185" t="s">
        <v>386</v>
      </c>
      <c r="E96" s="155">
        <v>33087</v>
      </c>
      <c r="F96" s="156" t="s">
        <v>233</v>
      </c>
      <c r="G96" s="156">
        <v>37</v>
      </c>
      <c r="H96" s="156">
        <v>18914609977</v>
      </c>
      <c r="I96" s="155">
        <v>46030</v>
      </c>
      <c r="J96" s="157"/>
      <c r="K96" s="157" t="s">
        <v>23</v>
      </c>
      <c r="L96" s="156" t="s">
        <v>66</v>
      </c>
      <c r="M96" s="144"/>
      <c r="N96" s="59"/>
      <c r="O96" s="148"/>
      <c r="P96" s="148"/>
      <c r="Q96" s="148"/>
      <c r="R96" s="148"/>
      <c r="S96" s="149"/>
    </row>
    <row r="97" s="13" customFormat="1" customHeight="1" spans="1:20">
      <c r="A97" s="154">
        <v>98</v>
      </c>
      <c r="B97" s="144" t="s">
        <v>387</v>
      </c>
      <c r="C97" s="94" t="s">
        <v>388</v>
      </c>
      <c r="D97" s="176" t="s">
        <v>389</v>
      </c>
      <c r="E97" s="95">
        <v>26376</v>
      </c>
      <c r="F97" s="94" t="s">
        <v>233</v>
      </c>
      <c r="G97" s="94">
        <v>54</v>
      </c>
      <c r="H97" s="94"/>
      <c r="I97" s="95">
        <v>46076</v>
      </c>
      <c r="J97" s="94"/>
      <c r="K97" s="94" t="s">
        <v>70</v>
      </c>
      <c r="L97" s="94" t="s">
        <v>289</v>
      </c>
      <c r="M97" s="94"/>
      <c r="N97" s="94"/>
    </row>
    <row r="98" customFormat="1" customHeight="1" spans="1:20">
      <c r="A98" s="22">
        <v>101</v>
      </c>
      <c r="B98" s="64" t="s">
        <v>390</v>
      </c>
      <c r="C98" s="13" t="s">
        <v>391</v>
      </c>
      <c r="D98" s="172" t="s">
        <v>392</v>
      </c>
      <c r="E98" s="68">
        <v>32052</v>
      </c>
      <c r="F98" s="13" t="s">
        <v>226</v>
      </c>
      <c r="G98" s="13">
        <v>39</v>
      </c>
      <c r="H98" s="13">
        <v>18352086768</v>
      </c>
      <c r="I98" s="68">
        <v>46079</v>
      </c>
      <c r="J98" s="13"/>
      <c r="K98" s="13" t="s">
        <v>78</v>
      </c>
      <c r="L98" s="13" t="s">
        <v>393</v>
      </c>
      <c r="M98" s="23" t="str">
        <f ca="1" t="shared" ref="M98:M101" si="5">DATEDIF(I98,TODAY(),"Y")&amp;"年"&amp;DATEDIF(I98,TODAY(),"YM")&amp;"个月"</f>
        <v>0年1个月</v>
      </c>
      <c r="N98" s="16" t="s">
        <v>25</v>
      </c>
      <c r="O98" s="98"/>
      <c r="P98" s="100"/>
      <c r="Q98" s="100"/>
      <c r="R98" s="100"/>
      <c r="S98" s="153"/>
    </row>
    <row r="99" customFormat="1" customHeight="1" spans="1:20">
      <c r="A99" s="22">
        <v>102</v>
      </c>
      <c r="B99" s="144" t="s">
        <v>394</v>
      </c>
      <c r="C99" s="145" t="s">
        <v>395</v>
      </c>
      <c r="D99" s="184" t="s">
        <v>396</v>
      </c>
      <c r="E99" s="158">
        <v>26655</v>
      </c>
      <c r="F99" s="145" t="s">
        <v>233</v>
      </c>
      <c r="G99" s="145">
        <v>53</v>
      </c>
      <c r="H99" s="145">
        <v>13485214468</v>
      </c>
      <c r="I99" s="146">
        <v>46077</v>
      </c>
      <c r="J99" s="159"/>
      <c r="K99" s="145" t="s">
        <v>70</v>
      </c>
      <c r="L99" s="145" t="s">
        <v>92</v>
      </c>
      <c r="M99" s="64" t="str">
        <f ca="1" t="shared" si="5"/>
        <v>0年1个月</v>
      </c>
      <c r="N99" s="100"/>
      <c r="O99" s="100"/>
      <c r="P99" s="100"/>
      <c r="Q99" s="100"/>
      <c r="R99" s="100"/>
      <c r="S99" s="153"/>
    </row>
    <row r="100" customFormat="1" customHeight="1" spans="1:20">
      <c r="A100" s="154">
        <v>104</v>
      </c>
      <c r="B100" s="144" t="s">
        <v>397</v>
      </c>
      <c r="C100" s="94" t="s">
        <v>398</v>
      </c>
      <c r="D100" s="176" t="s">
        <v>399</v>
      </c>
      <c r="E100" s="95">
        <v>32769</v>
      </c>
      <c r="F100" s="94" t="s">
        <v>226</v>
      </c>
      <c r="G100" s="94">
        <v>37</v>
      </c>
      <c r="H100" s="94">
        <v>18796556872</v>
      </c>
      <c r="I100" s="95">
        <v>46083</v>
      </c>
      <c r="J100" s="145"/>
      <c r="K100" s="145" t="s">
        <v>243</v>
      </c>
      <c r="L100" s="145" t="s">
        <v>92</v>
      </c>
      <c r="M100" s="61" t="str">
        <f ca="1" t="shared" si="5"/>
        <v>0年1个月</v>
      </c>
      <c r="N100" s="59" t="s">
        <v>25</v>
      </c>
      <c r="O100" s="100"/>
      <c r="P100" s="100"/>
      <c r="Q100" s="100"/>
      <c r="R100" s="100"/>
      <c r="S100" s="153"/>
    </row>
    <row r="101" customFormat="1" customHeight="1" spans="1:20">
      <c r="A101" s="22">
        <v>106</v>
      </c>
      <c r="B101" s="64" t="s">
        <v>400</v>
      </c>
      <c r="C101" s="98" t="s">
        <v>401</v>
      </c>
      <c r="D101" s="177" t="s">
        <v>402</v>
      </c>
      <c r="E101" s="99">
        <v>26601</v>
      </c>
      <c r="F101" s="98" t="s">
        <v>233</v>
      </c>
      <c r="G101" s="98">
        <v>54</v>
      </c>
      <c r="H101" s="98">
        <v>18012537255</v>
      </c>
      <c r="I101" s="99">
        <v>46083</v>
      </c>
      <c r="J101" s="98"/>
      <c r="K101" s="74" t="s">
        <v>70</v>
      </c>
      <c r="L101" s="13" t="s">
        <v>156</v>
      </c>
      <c r="M101" s="23" t="str">
        <f ca="1" t="shared" si="5"/>
        <v>0年1个月</v>
      </c>
      <c r="N101" s="16" t="s">
        <v>25</v>
      </c>
      <c r="O101" s="160"/>
      <c r="P101" s="100"/>
      <c r="Q101" s="100"/>
      <c r="R101" s="100"/>
      <c r="S101" s="153"/>
    </row>
    <row r="102" customFormat="1" customHeight="1" spans="1:20">
      <c r="A102" s="22">
        <v>107</v>
      </c>
      <c r="B102" s="64" t="s">
        <v>403</v>
      </c>
      <c r="C102" s="98" t="s">
        <v>404</v>
      </c>
      <c r="D102" s="177" t="s">
        <v>405</v>
      </c>
      <c r="E102" s="99">
        <v>30305</v>
      </c>
      <c r="F102" s="98" t="s">
        <v>226</v>
      </c>
      <c r="G102" s="98">
        <v>44</v>
      </c>
      <c r="H102" s="98">
        <v>19281601936</v>
      </c>
      <c r="I102" s="99">
        <v>46083</v>
      </c>
      <c r="J102" s="98"/>
      <c r="K102" s="13" t="s">
        <v>70</v>
      </c>
      <c r="L102" s="98" t="s">
        <v>109</v>
      </c>
      <c r="M102" s="23"/>
      <c r="N102" s="16"/>
      <c r="O102" s="160"/>
      <c r="P102" s="100"/>
      <c r="Q102" s="100"/>
      <c r="R102" s="100"/>
      <c r="S102" s="153"/>
    </row>
    <row r="103" customFormat="1" customHeight="1" spans="1:20">
      <c r="A103" s="22">
        <v>108</v>
      </c>
      <c r="B103" s="64" t="s">
        <v>406</v>
      </c>
      <c r="C103" s="98" t="s">
        <v>407</v>
      </c>
      <c r="D103" s="177" t="s">
        <v>408</v>
      </c>
      <c r="E103" s="99">
        <v>33116</v>
      </c>
      <c r="F103" s="98" t="s">
        <v>226</v>
      </c>
      <c r="G103" s="98">
        <v>37</v>
      </c>
      <c r="H103" s="98">
        <v>18261290216</v>
      </c>
      <c r="I103" s="99">
        <v>46089</v>
      </c>
      <c r="J103" s="98"/>
      <c r="K103" s="98" t="s">
        <v>129</v>
      </c>
      <c r="L103" s="98" t="s">
        <v>409</v>
      </c>
      <c r="M103" s="23" t="str">
        <f ca="1">DATEDIF(I103,TODAY(),"Y")&amp;"年"&amp;DATEDIF(I103,TODAY(),"YM")&amp;"个月"</f>
        <v>0年1个月</v>
      </c>
      <c r="N103" s="16" t="s">
        <v>25</v>
      </c>
      <c r="O103" s="161"/>
      <c r="P103" s="159"/>
      <c r="Q103" s="159"/>
      <c r="R103" s="159"/>
      <c r="S103" s="162"/>
    </row>
    <row r="104" customFormat="1" customHeight="1" spans="1:20">
      <c r="A104" s="22">
        <v>109</v>
      </c>
      <c r="B104" s="64" t="s">
        <v>410</v>
      </c>
      <c r="C104" s="13" t="s">
        <v>411</v>
      </c>
      <c r="D104" s="172" t="s">
        <v>412</v>
      </c>
      <c r="E104" s="68">
        <v>35232</v>
      </c>
      <c r="F104" s="13" t="s">
        <v>226</v>
      </c>
      <c r="G104" s="13">
        <v>30</v>
      </c>
      <c r="H104" s="13">
        <v>18251435046</v>
      </c>
      <c r="I104" s="68">
        <v>46094</v>
      </c>
      <c r="J104" s="13"/>
      <c r="K104" s="13" t="s">
        <v>70</v>
      </c>
      <c r="L104" s="13" t="s">
        <v>243</v>
      </c>
      <c r="M104" s="13"/>
      <c r="N104" s="13"/>
      <c r="O104" s="74"/>
      <c r="P104" s="100"/>
      <c r="Q104" s="100"/>
      <c r="R104" s="100"/>
      <c r="S104" s="100"/>
      <c r="T104" s="163"/>
    </row>
    <row r="105" customFormat="1" customHeight="1" spans="1:20">
      <c r="A105" s="22">
        <v>110</v>
      </c>
      <c r="B105" s="64" t="s">
        <v>413</v>
      </c>
      <c r="C105" s="13" t="s">
        <v>414</v>
      </c>
      <c r="D105" s="13" t="s">
        <v>415</v>
      </c>
      <c r="E105" s="68">
        <v>28268</v>
      </c>
      <c r="F105" s="13" t="s">
        <v>226</v>
      </c>
      <c r="G105" s="13"/>
      <c r="H105" s="13"/>
      <c r="I105" s="68">
        <v>46092</v>
      </c>
      <c r="J105" s="13"/>
      <c r="K105" s="13" t="s">
        <v>70</v>
      </c>
      <c r="L105" s="13" t="s">
        <v>243</v>
      </c>
      <c r="M105" s="74"/>
      <c r="N105" s="74"/>
      <c r="O105" s="74"/>
      <c r="P105" s="100"/>
      <c r="Q105" s="100"/>
      <c r="R105" s="100"/>
      <c r="S105" s="100"/>
      <c r="T105" s="163"/>
    </row>
    <row r="106" customFormat="1" customHeight="1" spans="1:20">
      <c r="A106" s="22">
        <v>111</v>
      </c>
      <c r="B106" s="64" t="s">
        <v>416</v>
      </c>
      <c r="C106" s="13" t="s">
        <v>417</v>
      </c>
      <c r="D106" s="172" t="s">
        <v>418</v>
      </c>
      <c r="E106" s="68">
        <v>34249</v>
      </c>
      <c r="F106" s="13" t="s">
        <v>226</v>
      </c>
      <c r="G106" s="13">
        <v>32</v>
      </c>
      <c r="H106" s="13">
        <v>13962027200</v>
      </c>
      <c r="I106" s="68">
        <v>46097</v>
      </c>
      <c r="J106" s="13"/>
      <c r="K106" s="13" t="s">
        <v>108</v>
      </c>
      <c r="L106" s="13" t="s">
        <v>419</v>
      </c>
      <c r="M106" s="74"/>
      <c r="N106" s="74"/>
      <c r="O106" s="74"/>
      <c r="P106" s="100"/>
      <c r="Q106" s="100"/>
      <c r="R106" s="100"/>
      <c r="S106" s="100"/>
      <c r="T106" s="163"/>
    </row>
    <row r="107" customFormat="1" customHeight="1" spans="1:20">
      <c r="A107" s="22">
        <v>112</v>
      </c>
      <c r="B107" s="64" t="s">
        <v>420</v>
      </c>
      <c r="C107" s="13" t="s">
        <v>421</v>
      </c>
      <c r="D107" s="172" t="s">
        <v>422</v>
      </c>
      <c r="E107" s="68">
        <v>33940</v>
      </c>
      <c r="F107" s="13" t="s">
        <v>233</v>
      </c>
      <c r="G107" s="13">
        <v>35</v>
      </c>
      <c r="H107" s="13">
        <v>15505260260</v>
      </c>
      <c r="I107" s="164">
        <v>46103</v>
      </c>
      <c r="J107" s="74"/>
      <c r="K107" s="74" t="s">
        <v>70</v>
      </c>
      <c r="L107" s="13" t="s">
        <v>289</v>
      </c>
      <c r="M107" s="74"/>
      <c r="N107" s="74"/>
      <c r="O107" s="74"/>
      <c r="P107" s="74"/>
      <c r="Q107" s="74"/>
      <c r="R107" s="74"/>
      <c r="S107" s="74"/>
    </row>
    <row r="108" s="12" customFormat="1" customHeight="1" spans="1:20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163"/>
    </row>
    <row r="109" s="12" customFormat="1" customHeight="1" spans="1:20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163"/>
    </row>
    <row r="110" s="12" customFormat="1" customHeight="1" spans="1:2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163"/>
    </row>
    <row r="111" s="12" customFormat="1" customHeight="1" spans="1:20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163"/>
    </row>
    <row r="112" s="12" customFormat="1" customHeight="1" spans="1:20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163"/>
    </row>
    <row r="113" s="12" customFormat="1" customHeight="1" spans="1:20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163"/>
    </row>
    <row r="114" s="12" customFormat="1" customHeight="1" spans="1:20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163"/>
    </row>
    <row r="115" s="12" customFormat="1" customHeight="1" spans="1:20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163"/>
    </row>
    <row r="116" s="12" customFormat="1" customHeight="1" spans="1:20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163"/>
    </row>
    <row r="117" s="12" customFormat="1" customHeight="1" spans="1:20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163"/>
    </row>
    <row r="118" s="12" customFormat="1" customHeight="1" spans="1:20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163"/>
    </row>
    <row r="119" customFormat="1" customHeight="1" spans="1:20">
      <c r="P119" s="8"/>
      <c r="Q119" s="8"/>
      <c r="R119" s="8"/>
      <c r="S119" s="8"/>
    </row>
    <row r="120" customHeight="1" spans="1:20">
      <c r="P120" s="165"/>
      <c r="Q120" s="165"/>
      <c r="R120" s="165"/>
      <c r="S120" s="165"/>
    </row>
    <row r="121" customHeight="1" spans="1:20">
      <c r="P121" s="165"/>
      <c r="Q121" s="165"/>
      <c r="R121" s="165"/>
      <c r="S121" s="165"/>
    </row>
    <row r="122" customHeight="1" spans="1:20">
      <c r="P122" s="165"/>
      <c r="Q122" s="165"/>
      <c r="R122" s="165"/>
      <c r="S122" s="165"/>
    </row>
    <row r="123" customHeight="1" spans="1:20">
      <c r="P123" s="165"/>
      <c r="Q123" s="165"/>
      <c r="R123" s="165"/>
      <c r="S123" s="165"/>
    </row>
    <row r="124" customHeight="1" spans="1:20">
      <c r="P124" s="165"/>
      <c r="Q124" s="165"/>
      <c r="R124" s="165"/>
      <c r="S124" s="165"/>
    </row>
    <row r="125" customHeight="1" spans="1:20">
      <c r="P125" s="165"/>
      <c r="Q125" s="165"/>
      <c r="R125" s="165"/>
      <c r="S125" s="165"/>
    </row>
    <row r="126" customHeight="1" spans="1:20">
      <c r="P126" s="165"/>
      <c r="Q126" s="165"/>
      <c r="R126" s="165"/>
      <c r="S126" s="165"/>
    </row>
    <row r="127" customHeight="1" spans="1:20">
      <c r="P127" s="165"/>
      <c r="Q127" s="165"/>
      <c r="R127" s="165"/>
      <c r="S127" s="165"/>
    </row>
    <row r="128" customHeight="1" spans="1:20">
      <c r="P128" s="165"/>
      <c r="Q128" s="165"/>
      <c r="R128" s="165"/>
      <c r="S128" s="165"/>
    </row>
    <row r="129" customHeight="1" spans="16:19">
      <c r="P129" s="165"/>
      <c r="Q129" s="165"/>
      <c r="R129" s="165"/>
      <c r="S129" s="165"/>
    </row>
    <row r="130" customHeight="1" spans="16:19">
      <c r="P130" s="165"/>
      <c r="Q130" s="165"/>
      <c r="R130" s="165"/>
      <c r="S130" s="165"/>
    </row>
    <row r="131" customHeight="1" spans="16:19">
      <c r="P131" s="165"/>
      <c r="Q131" s="165"/>
      <c r="R131" s="165"/>
      <c r="S131" s="165"/>
    </row>
    <row r="132" customHeight="1" spans="16:19">
      <c r="P132" s="165"/>
      <c r="Q132" s="165"/>
      <c r="R132" s="165"/>
      <c r="S132" s="165"/>
    </row>
    <row r="133" customHeight="1" spans="16:19">
      <c r="P133" s="165"/>
      <c r="Q133" s="165"/>
      <c r="R133" s="165"/>
      <c r="S133" s="165"/>
    </row>
    <row r="134" customHeight="1" spans="16:19">
      <c r="P134" s="165"/>
      <c r="Q134" s="165"/>
      <c r="R134" s="165"/>
      <c r="S134" s="165"/>
    </row>
    <row r="135" customHeight="1" spans="16:19">
      <c r="P135" s="165"/>
      <c r="Q135" s="165"/>
      <c r="R135" s="165"/>
      <c r="S135" s="165"/>
    </row>
    <row r="136" customHeight="1" spans="16:19">
      <c r="P136" s="165"/>
      <c r="Q136" s="165"/>
      <c r="R136" s="165"/>
      <c r="S136" s="165"/>
    </row>
    <row r="137" customHeight="1" spans="16:19">
      <c r="P137" s="165"/>
      <c r="Q137" s="165"/>
      <c r="R137" s="165"/>
      <c r="S137" s="165"/>
    </row>
    <row r="138" customHeight="1" spans="16:19">
      <c r="P138" s="165"/>
      <c r="Q138" s="165"/>
      <c r="R138" s="165"/>
      <c r="S138" s="165"/>
    </row>
    <row r="139" customHeight="1" spans="16:19">
      <c r="P139" s="165"/>
      <c r="Q139" s="165"/>
      <c r="R139" s="165"/>
      <c r="S139" s="165"/>
    </row>
    <row r="140" customHeight="1" spans="16:19">
      <c r="P140" s="165"/>
      <c r="Q140" s="165"/>
      <c r="R140" s="165"/>
      <c r="S140" s="165"/>
    </row>
    <row r="141" customHeight="1" spans="16:19">
      <c r="P141" s="165"/>
      <c r="Q141" s="165"/>
      <c r="R141" s="165"/>
      <c r="S141" s="165"/>
    </row>
    <row r="142" customHeight="1" spans="16:19">
      <c r="P142" s="165"/>
      <c r="Q142" s="165"/>
      <c r="R142" s="165"/>
      <c r="S142" s="165"/>
    </row>
    <row r="143" customHeight="1" spans="16:19">
      <c r="P143" s="165"/>
      <c r="Q143" s="165"/>
      <c r="R143" s="165"/>
      <c r="S143" s="165"/>
    </row>
    <row r="144" customHeight="1" spans="16:19">
      <c r="P144" s="165"/>
      <c r="Q144" s="165"/>
      <c r="R144" s="165"/>
      <c r="S144" s="165"/>
    </row>
    <row r="145" customHeight="1" spans="16:19">
      <c r="P145" s="165"/>
      <c r="Q145" s="165"/>
      <c r="R145" s="165"/>
      <c r="S145" s="165"/>
    </row>
    <row r="146" customHeight="1" spans="16:19">
      <c r="P146" s="165"/>
      <c r="Q146" s="165"/>
      <c r="R146" s="165"/>
      <c r="S146" s="165"/>
    </row>
    <row r="147" customHeight="1" spans="16:19">
      <c r="P147" s="165"/>
      <c r="Q147" s="165"/>
      <c r="R147" s="165"/>
      <c r="S147" s="165"/>
    </row>
    <row r="148" customHeight="1" spans="16:19">
      <c r="P148" s="165"/>
      <c r="Q148" s="165"/>
      <c r="R148" s="165"/>
      <c r="S148" s="165"/>
    </row>
    <row r="149" customHeight="1" spans="16:19">
      <c r="P149" s="165"/>
      <c r="Q149" s="165"/>
      <c r="R149" s="165"/>
      <c r="S149" s="165"/>
    </row>
    <row r="150" customHeight="1" spans="16:19">
      <c r="P150" s="165"/>
      <c r="Q150" s="165"/>
      <c r="R150" s="165"/>
      <c r="S150" s="165"/>
    </row>
    <row r="151" customHeight="1" spans="16:19">
      <c r="P151" s="165"/>
      <c r="Q151" s="165"/>
      <c r="R151" s="165"/>
      <c r="S151" s="165"/>
    </row>
    <row r="152" customHeight="1" spans="16:19">
      <c r="P152" s="165"/>
      <c r="Q152" s="165"/>
      <c r="R152" s="165"/>
      <c r="S152" s="165"/>
    </row>
    <row r="153" customHeight="1" spans="16:19">
      <c r="P153" s="165"/>
      <c r="Q153" s="165"/>
      <c r="R153" s="165"/>
      <c r="S153" s="165"/>
    </row>
    <row r="154" customHeight="1" spans="16:19">
      <c r="P154" s="165"/>
      <c r="Q154" s="165"/>
      <c r="R154" s="165"/>
      <c r="S154" s="165"/>
    </row>
    <row r="155" customHeight="1" spans="16:19">
      <c r="P155" s="165"/>
      <c r="Q155" s="165"/>
      <c r="R155" s="165"/>
      <c r="S155" s="165"/>
    </row>
    <row r="156" customHeight="1" spans="16:19">
      <c r="P156" s="165"/>
      <c r="Q156" s="165"/>
      <c r="R156" s="165"/>
      <c r="S156" s="165"/>
    </row>
    <row r="157" customHeight="1" spans="16:19">
      <c r="P157" s="165"/>
      <c r="Q157" s="165"/>
      <c r="R157" s="165"/>
      <c r="S157" s="165"/>
    </row>
    <row r="158" customHeight="1" spans="16:19">
      <c r="P158" s="165"/>
      <c r="Q158" s="165"/>
      <c r="R158" s="165"/>
      <c r="S158" s="165"/>
    </row>
    <row r="159" customHeight="1" spans="16:19">
      <c r="P159" s="165"/>
      <c r="Q159" s="165"/>
      <c r="R159" s="165"/>
      <c r="S159" s="165"/>
    </row>
    <row r="160" customHeight="1" spans="16:19">
      <c r="P160" s="165"/>
      <c r="Q160" s="165"/>
      <c r="R160" s="165"/>
      <c r="S160" s="165"/>
    </row>
    <row r="161" customHeight="1" spans="16:19">
      <c r="P161" s="165"/>
      <c r="Q161" s="165"/>
      <c r="R161" s="165"/>
      <c r="S161" s="165"/>
    </row>
    <row r="162" customHeight="1" spans="16:19">
      <c r="P162" s="165"/>
      <c r="Q162" s="165"/>
      <c r="R162" s="165"/>
      <c r="S162" s="165"/>
    </row>
    <row r="163" customHeight="1" spans="16:19">
      <c r="P163" s="165"/>
      <c r="Q163" s="165"/>
      <c r="R163" s="165"/>
      <c r="S163" s="165"/>
    </row>
    <row r="164" customHeight="1" spans="16:19">
      <c r="P164" s="165"/>
      <c r="Q164" s="165"/>
      <c r="R164" s="165"/>
      <c r="S164" s="165"/>
    </row>
    <row r="165" customHeight="1" spans="16:19">
      <c r="P165" s="165"/>
      <c r="Q165" s="165"/>
      <c r="R165" s="165"/>
      <c r="S165" s="165"/>
    </row>
    <row r="166" customHeight="1" spans="16:19">
      <c r="P166" s="165"/>
      <c r="Q166" s="165"/>
      <c r="R166" s="165"/>
      <c r="S166" s="165"/>
    </row>
    <row r="167" customHeight="1" spans="16:19">
      <c r="P167" s="165"/>
      <c r="Q167" s="165"/>
      <c r="R167" s="165"/>
      <c r="S167" s="165"/>
    </row>
    <row r="168" customHeight="1" spans="16:19">
      <c r="P168" s="165"/>
      <c r="Q168" s="165"/>
      <c r="R168" s="165"/>
      <c r="S168" s="165"/>
    </row>
    <row r="169" customHeight="1" spans="16:19">
      <c r="P169" s="165"/>
      <c r="Q169" s="165"/>
      <c r="R169" s="165"/>
      <c r="S169" s="165"/>
    </row>
    <row r="170" customHeight="1" spans="16:19">
      <c r="P170" s="165"/>
      <c r="Q170" s="165"/>
      <c r="R170" s="165"/>
      <c r="S170" s="165"/>
    </row>
    <row r="171" customHeight="1" spans="16:19">
      <c r="P171" s="165"/>
      <c r="Q171" s="165"/>
      <c r="R171" s="165"/>
      <c r="S171" s="165"/>
    </row>
    <row r="172" customHeight="1" spans="16:19">
      <c r="P172" s="165"/>
      <c r="Q172" s="165"/>
      <c r="R172" s="165"/>
      <c r="S172" s="165"/>
    </row>
    <row r="173" customHeight="1" spans="16:19">
      <c r="P173" s="165"/>
      <c r="Q173" s="165"/>
      <c r="R173" s="165"/>
      <c r="S173" s="165"/>
    </row>
    <row r="174" customHeight="1" spans="16:19">
      <c r="P174" s="165"/>
      <c r="Q174" s="165"/>
      <c r="R174" s="165"/>
      <c r="S174" s="165"/>
    </row>
    <row r="175" customHeight="1" spans="16:19">
      <c r="P175" s="165"/>
      <c r="Q175" s="165"/>
      <c r="R175" s="165"/>
      <c r="S175" s="165"/>
    </row>
    <row r="176" customHeight="1" spans="16:19">
      <c r="P176" s="165"/>
      <c r="Q176" s="165"/>
      <c r="R176" s="165"/>
      <c r="S176" s="165"/>
    </row>
    <row r="177" customHeight="1" spans="16:19">
      <c r="P177" s="165"/>
      <c r="Q177" s="165"/>
      <c r="R177" s="165"/>
      <c r="S177" s="165"/>
    </row>
    <row r="178" customHeight="1" spans="16:19">
      <c r="P178" s="165"/>
      <c r="Q178" s="165"/>
      <c r="R178" s="165"/>
      <c r="S178" s="165"/>
    </row>
    <row r="179" customHeight="1" spans="16:19">
      <c r="P179" s="165"/>
      <c r="Q179" s="165"/>
      <c r="R179" s="165"/>
      <c r="S179" s="165"/>
    </row>
    <row r="180" customHeight="1" spans="16:19">
      <c r="P180" s="165"/>
      <c r="Q180" s="165"/>
      <c r="R180" s="165"/>
      <c r="S180" s="165"/>
    </row>
    <row r="181" customHeight="1" spans="16:19">
      <c r="P181" s="165"/>
      <c r="Q181" s="165"/>
      <c r="R181" s="165"/>
      <c r="S181" s="165"/>
    </row>
    <row r="182" customHeight="1" spans="16:19">
      <c r="P182" s="165"/>
      <c r="Q182" s="165"/>
      <c r="R182" s="165"/>
      <c r="S182" s="165"/>
    </row>
    <row r="183" customHeight="1" spans="16:19">
      <c r="P183" s="165"/>
      <c r="Q183" s="165"/>
      <c r="R183" s="165"/>
      <c r="S183" s="165"/>
    </row>
    <row r="184" customHeight="1" spans="16:19">
      <c r="P184" s="165"/>
      <c r="Q184" s="165"/>
      <c r="R184" s="165"/>
      <c r="S184" s="165"/>
    </row>
    <row r="185" customHeight="1" spans="16:19">
      <c r="P185" s="165"/>
      <c r="Q185" s="165"/>
      <c r="R185" s="165"/>
      <c r="S185" s="165"/>
    </row>
    <row r="186" customHeight="1" spans="16:19">
      <c r="P186" s="165"/>
      <c r="Q186" s="165"/>
      <c r="R186" s="165"/>
      <c r="S186" s="165"/>
    </row>
    <row r="187" customHeight="1" spans="16:19">
      <c r="P187" s="165"/>
      <c r="Q187" s="165"/>
      <c r="R187" s="165"/>
      <c r="S187" s="165"/>
    </row>
    <row r="188" customHeight="1" spans="16:19">
      <c r="P188" s="165"/>
      <c r="Q188" s="165"/>
      <c r="R188" s="165"/>
      <c r="S188" s="165"/>
    </row>
    <row r="189" customHeight="1" spans="16:19">
      <c r="P189" s="165"/>
      <c r="Q189" s="165"/>
      <c r="R189" s="165"/>
      <c r="S189" s="165"/>
    </row>
    <row r="190" customHeight="1" spans="16:19">
      <c r="P190" s="165"/>
      <c r="Q190" s="165"/>
      <c r="R190" s="165"/>
      <c r="S190" s="165"/>
    </row>
    <row r="191" customHeight="1" spans="16:19">
      <c r="P191" s="165"/>
      <c r="Q191" s="165"/>
      <c r="R191" s="165"/>
      <c r="S191" s="165"/>
    </row>
    <row r="192" customHeight="1" spans="16:19">
      <c r="P192" s="165"/>
      <c r="Q192" s="165"/>
      <c r="R192" s="165"/>
      <c r="S192" s="165"/>
    </row>
    <row r="193" customHeight="1" spans="16:19">
      <c r="P193" s="165"/>
      <c r="Q193" s="165"/>
      <c r="R193" s="165"/>
      <c r="S193" s="165"/>
    </row>
    <row r="194" customHeight="1" spans="16:19">
      <c r="P194" s="165"/>
      <c r="Q194" s="165"/>
      <c r="R194" s="165"/>
      <c r="S194" s="165"/>
    </row>
    <row r="195" customHeight="1" spans="16:19">
      <c r="P195" s="165"/>
      <c r="Q195" s="165"/>
      <c r="R195" s="165"/>
      <c r="S195" s="165"/>
    </row>
    <row r="196" customHeight="1" spans="16:19">
      <c r="P196" s="165"/>
      <c r="Q196" s="165"/>
      <c r="R196" s="165"/>
      <c r="S196" s="165"/>
    </row>
    <row r="197" customHeight="1" spans="16:19">
      <c r="P197" s="165"/>
      <c r="Q197" s="165"/>
      <c r="R197" s="165"/>
      <c r="S197" s="165"/>
    </row>
    <row r="198" customHeight="1" spans="16:19">
      <c r="P198" s="165"/>
      <c r="Q198" s="165"/>
      <c r="R198" s="165"/>
      <c r="S198" s="165"/>
    </row>
    <row r="199" customHeight="1" spans="16:19">
      <c r="P199" s="165"/>
      <c r="Q199" s="165"/>
      <c r="R199" s="165"/>
      <c r="S199" s="165"/>
    </row>
    <row r="200" customHeight="1" spans="16:19">
      <c r="P200" s="165"/>
      <c r="Q200" s="165"/>
      <c r="R200" s="165"/>
      <c r="S200" s="165"/>
    </row>
    <row r="201" customHeight="1" spans="16:19">
      <c r="P201" s="165"/>
      <c r="Q201" s="165"/>
      <c r="R201" s="165"/>
      <c r="S201" s="165"/>
    </row>
    <row r="202" customHeight="1" spans="16:19">
      <c r="P202" s="165"/>
      <c r="Q202" s="165"/>
      <c r="R202" s="165"/>
      <c r="S202" s="165"/>
    </row>
    <row r="203" customHeight="1" spans="16:19">
      <c r="P203" s="165"/>
      <c r="Q203" s="165"/>
      <c r="R203" s="165"/>
      <c r="S203" s="165"/>
    </row>
    <row r="204" customHeight="1" spans="16:19">
      <c r="P204" s="165"/>
      <c r="Q204" s="165"/>
      <c r="R204" s="165"/>
      <c r="S204" s="165"/>
    </row>
    <row r="205" customHeight="1" spans="16:19">
      <c r="P205" s="165"/>
      <c r="Q205" s="165"/>
      <c r="R205" s="165"/>
      <c r="S205" s="165"/>
    </row>
    <row r="206" customHeight="1" spans="16:19">
      <c r="P206" s="165"/>
      <c r="Q206" s="165"/>
      <c r="R206" s="165"/>
      <c r="S206" s="165"/>
    </row>
    <row r="207" customHeight="1" spans="16:19">
      <c r="P207" s="165"/>
      <c r="Q207" s="165"/>
      <c r="R207" s="165"/>
      <c r="S207" s="165"/>
    </row>
    <row r="208" customHeight="1" spans="16:19">
      <c r="P208" s="165"/>
      <c r="Q208" s="165"/>
      <c r="R208" s="165"/>
      <c r="S208" s="165"/>
    </row>
    <row r="209" customHeight="1" spans="16:19">
      <c r="P209" s="165"/>
      <c r="Q209" s="165"/>
      <c r="R209" s="165"/>
      <c r="S209" s="165"/>
    </row>
    <row r="210" customHeight="1" spans="16:19">
      <c r="P210" s="165"/>
      <c r="Q210" s="165"/>
      <c r="R210" s="165"/>
      <c r="S210" s="165"/>
    </row>
    <row r="211" customHeight="1" spans="16:19">
      <c r="P211" s="165"/>
      <c r="Q211" s="165"/>
      <c r="R211" s="165"/>
      <c r="S211" s="165"/>
    </row>
    <row r="212" customHeight="1" spans="16:19">
      <c r="P212" s="165"/>
      <c r="Q212" s="165"/>
      <c r="R212" s="165"/>
      <c r="S212" s="165"/>
    </row>
    <row r="213" customHeight="1" spans="16:19">
      <c r="P213" s="165"/>
      <c r="Q213" s="165"/>
      <c r="R213" s="165"/>
      <c r="S213" s="165"/>
    </row>
    <row r="214" customHeight="1" spans="16:19">
      <c r="P214" s="165"/>
      <c r="Q214" s="165"/>
      <c r="R214" s="165"/>
      <c r="S214" s="165"/>
    </row>
    <row r="215" customHeight="1" spans="16:19">
      <c r="P215" s="165"/>
      <c r="Q215" s="165"/>
      <c r="R215" s="165"/>
      <c r="S215" s="165"/>
    </row>
    <row r="216" customHeight="1" spans="16:19">
      <c r="P216" s="165"/>
      <c r="Q216" s="165"/>
      <c r="R216" s="165"/>
      <c r="S216" s="165"/>
    </row>
    <row r="217" customHeight="1" spans="16:19">
      <c r="P217" s="165"/>
      <c r="Q217" s="165"/>
      <c r="R217" s="165"/>
      <c r="S217" s="165"/>
    </row>
    <row r="218" customHeight="1" spans="16:19">
      <c r="P218" s="165"/>
      <c r="Q218" s="165"/>
      <c r="R218" s="165"/>
      <c r="S218" s="165"/>
    </row>
    <row r="219" customHeight="1" spans="16:19">
      <c r="P219" s="165"/>
      <c r="Q219" s="165"/>
      <c r="R219" s="165"/>
      <c r="S219" s="165"/>
    </row>
    <row r="220" customHeight="1" spans="16:19">
      <c r="P220" s="165"/>
      <c r="Q220" s="165"/>
      <c r="R220" s="165"/>
      <c r="S220" s="165"/>
    </row>
    <row r="221" customHeight="1" spans="16:19">
      <c r="P221" s="165"/>
      <c r="Q221" s="165"/>
      <c r="R221" s="165"/>
      <c r="S221" s="165"/>
    </row>
    <row r="222" customHeight="1" spans="16:19">
      <c r="P222" s="165"/>
      <c r="Q222" s="165"/>
      <c r="R222" s="165"/>
      <c r="S222" s="165"/>
    </row>
    <row r="223" customHeight="1" spans="16:19">
      <c r="P223" s="165"/>
      <c r="Q223" s="165"/>
      <c r="R223" s="165"/>
      <c r="S223" s="165"/>
    </row>
    <row r="224" customHeight="1" spans="16:19">
      <c r="P224" s="165"/>
      <c r="Q224" s="165"/>
      <c r="R224" s="165"/>
      <c r="S224" s="165"/>
    </row>
    <row r="225" customHeight="1" spans="16:19">
      <c r="P225" s="166"/>
      <c r="Q225" s="166"/>
      <c r="R225" s="166"/>
      <c r="S225" s="166"/>
    </row>
  </sheetData>
  <mergeCells count="1">
    <mergeCell ref="A1:O1"/>
  </mergeCells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花名册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tonyh</dc:creator>
  <cp:lastModifiedBy>黄子迅</cp:lastModifiedBy>
  <dcterms:created xsi:type="dcterms:W3CDTF">2026-04-13T18:03:18Z</dcterms:created>
  <dcterms:modified xsi:type="dcterms:W3CDTF">2026-04-13T18:03:18Z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9BD2AC9C1AEE4E2294F7BE73E69BEABD_11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