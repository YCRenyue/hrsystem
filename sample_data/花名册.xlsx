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花名册" sheetId="1" r:id="rId1"/>
  </sheets>
  <definedNames>
    <definedName name="_xlnm._FilterDatabase" localSheetId="0" hidden="1">花名册!$A$1:$S$103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<sst xmlns="http://schemas.openxmlformats.org/spreadsheetml/2006/main" count="897" uniqueCount="423">
  <si>
    <t>在职花名册</t>
  </si>
  <si>
    <t>序号</t>
  </si>
  <si>
    <t>公司编号</t>
  </si>
  <si>
    <t>姓名</t>
  </si>
  <si>
    <t>身份证号码</t>
  </si>
  <si>
    <t>出生日期</t>
  </si>
  <si>
    <t>性别</t>
  </si>
  <si>
    <t>年龄</t>
  </si>
  <si>
    <t>联系电话</t>
  </si>
  <si>
    <t>入职时间</t>
  </si>
  <si>
    <t>转正日期</t>
  </si>
  <si>
    <t>部门</t>
  </si>
  <si>
    <t>岗位</t>
  </si>
  <si>
    <t>工龄</t>
  </si>
  <si>
    <t>状态</t>
  </si>
  <si>
    <t>备注</t>
  </si>
  <si>
    <t>合同到期日</t>
  </si>
  <si>
    <t>身份证复印件</t>
  </si>
  <si>
    <t>保险所在公司</t>
  </si>
  <si>
    <t>银行卡</t>
  </si>
  <si>
    <t>RH-0001</t>
  </si>
  <si>
    <t>马达</t>
  </si>
  <si>
    <t>320925197112246754</t>
  </si>
  <si>
    <t>销售部</t>
  </si>
  <si>
    <t>销售经理</t>
  </si>
  <si>
    <t>在职</t>
  </si>
  <si>
    <t>无固定</t>
  </si>
  <si>
    <t>有</t>
  </si>
  <si>
    <t>同康祥泰</t>
  </si>
  <si>
    <t>RH-0002</t>
  </si>
  <si>
    <t>王胜</t>
  </si>
  <si>
    <t>32092519761012141X</t>
  </si>
  <si>
    <t>骐悦</t>
  </si>
  <si>
    <t>RH-0003</t>
  </si>
  <si>
    <t>吕辉</t>
  </si>
  <si>
    <t>320925198512276738</t>
  </si>
  <si>
    <t>骏翔</t>
  </si>
  <si>
    <t>RH-0004</t>
  </si>
  <si>
    <t>居相东</t>
  </si>
  <si>
    <t>320925198905132014</t>
  </si>
  <si>
    <t>润湖</t>
  </si>
  <si>
    <t>RH-0006</t>
  </si>
  <si>
    <t>卜素明</t>
  </si>
  <si>
    <t>320925196701126799</t>
  </si>
  <si>
    <t>行政部</t>
  </si>
  <si>
    <t>成品叉车</t>
  </si>
  <si>
    <t>泽越</t>
  </si>
  <si>
    <t>RH-0007</t>
  </si>
  <si>
    <t>陈玲玲</t>
  </si>
  <si>
    <t>320704198605222023</t>
  </si>
  <si>
    <t>综合部</t>
  </si>
  <si>
    <t>生产总负责</t>
  </si>
  <si>
    <t>仁越</t>
  </si>
  <si>
    <t>RH-0008</t>
  </si>
  <si>
    <t>杨兰</t>
  </si>
  <si>
    <t>320925198503021426</t>
  </si>
  <si>
    <t>采购部</t>
  </si>
  <si>
    <t>贸易采购</t>
  </si>
  <si>
    <t>RH-0009</t>
  </si>
  <si>
    <t>朱波</t>
  </si>
  <si>
    <t>320925199006083655</t>
  </si>
  <si>
    <t>设备部</t>
  </si>
  <si>
    <t>设备负责人</t>
  </si>
  <si>
    <t>RH-0010</t>
  </si>
  <si>
    <t>颜亚运</t>
  </si>
  <si>
    <t>320925199009213136</t>
  </si>
  <si>
    <t>销售</t>
  </si>
  <si>
    <t>RH-0011</t>
  </si>
  <si>
    <t>瞿莉</t>
  </si>
  <si>
    <t>320923199212295760</t>
  </si>
  <si>
    <t>生产部</t>
  </si>
  <si>
    <t>生产经理</t>
  </si>
  <si>
    <t>RH-0012</t>
  </si>
  <si>
    <t>高瑞</t>
  </si>
  <si>
    <t>320382198901027078</t>
  </si>
  <si>
    <t>RH-0013</t>
  </si>
  <si>
    <t>徐娟</t>
  </si>
  <si>
    <t>320925199009065161</t>
  </si>
  <si>
    <t>财务部</t>
  </si>
  <si>
    <t>财务经理</t>
  </si>
  <si>
    <t>无身份证</t>
  </si>
  <si>
    <t>RH-0014</t>
  </si>
  <si>
    <t>卢宁</t>
  </si>
  <si>
    <t>320925199602053129</t>
  </si>
  <si>
    <t>财务专员</t>
  </si>
  <si>
    <t>RH-0016</t>
  </si>
  <si>
    <t>祝青</t>
  </si>
  <si>
    <t>320925199409142023</t>
  </si>
  <si>
    <t>生产采购</t>
  </si>
  <si>
    <t>RH-0017</t>
  </si>
  <si>
    <t>苏芹</t>
  </si>
  <si>
    <t>320925197102082047</t>
  </si>
  <si>
    <t>工人</t>
  </si>
  <si>
    <t>无合同</t>
  </si>
  <si>
    <t>RH-0018</t>
  </si>
  <si>
    <t>郑青</t>
  </si>
  <si>
    <t>320925199411180627</t>
  </si>
  <si>
    <t>RH-0019</t>
  </si>
  <si>
    <t>李乃杰</t>
  </si>
  <si>
    <t>320925199706270611</t>
  </si>
  <si>
    <t>18112055658</t>
  </si>
  <si>
    <t>/</t>
  </si>
  <si>
    <t>RH-0020</t>
  </si>
  <si>
    <t>纪军杰</t>
  </si>
  <si>
    <t>320925199210163679</t>
  </si>
  <si>
    <t>RH-0021</t>
  </si>
  <si>
    <t>潘彩云</t>
  </si>
  <si>
    <t>320802198201252085</t>
  </si>
  <si>
    <t>市场部</t>
  </si>
  <si>
    <t>文员</t>
  </si>
  <si>
    <t>RH-0022</t>
  </si>
  <si>
    <t>孟智</t>
  </si>
  <si>
    <t>320925198110170615</t>
  </si>
  <si>
    <t>RH-0023</t>
  </si>
  <si>
    <t>卢经纬</t>
  </si>
  <si>
    <t>320925199110140074</t>
  </si>
  <si>
    <t>RH-0024</t>
  </si>
  <si>
    <t>陆会苹</t>
  </si>
  <si>
    <t>32092519720120672X</t>
  </si>
  <si>
    <t>无履历表、身份证</t>
  </si>
  <si>
    <t>RH-0025</t>
  </si>
  <si>
    <t>沈宗顺</t>
  </si>
  <si>
    <t>320925196610213117</t>
  </si>
  <si>
    <t>RH-0026</t>
  </si>
  <si>
    <t>单和巧</t>
  </si>
  <si>
    <t>320925198904163628</t>
  </si>
  <si>
    <t>RH-0027</t>
  </si>
  <si>
    <t>谢凤霞</t>
  </si>
  <si>
    <t>340823198503107540</t>
  </si>
  <si>
    <t>质量部</t>
  </si>
  <si>
    <t>质量部经理</t>
  </si>
  <si>
    <t>RH-0029</t>
  </si>
  <si>
    <t>丁荣国</t>
  </si>
  <si>
    <t>320925197010070057</t>
  </si>
  <si>
    <t>RH-0030</t>
  </si>
  <si>
    <t>吴家丽</t>
  </si>
  <si>
    <t>320925199009033629</t>
  </si>
  <si>
    <t>仓储部</t>
  </si>
  <si>
    <t>贸易库管</t>
  </si>
  <si>
    <t>RH-0033</t>
  </si>
  <si>
    <t>吉芳</t>
  </si>
  <si>
    <t>320925198909101506</t>
  </si>
  <si>
    <t>RH-0034</t>
  </si>
  <si>
    <t>庄会彩</t>
  </si>
  <si>
    <t>320721198911115046</t>
  </si>
  <si>
    <t>办公室</t>
  </si>
  <si>
    <t>RH-0035</t>
  </si>
  <si>
    <t>刘倩</t>
  </si>
  <si>
    <t>320925199601202022</t>
  </si>
  <si>
    <t>RH-0036</t>
  </si>
  <si>
    <t>肖桂祥</t>
  </si>
  <si>
    <t>320925198706175855</t>
  </si>
  <si>
    <t>机修工</t>
  </si>
  <si>
    <t>RH-0037</t>
  </si>
  <si>
    <t>朱勇</t>
  </si>
  <si>
    <t>320925196803220014</t>
  </si>
  <si>
    <t>下力工</t>
  </si>
  <si>
    <t>RH-0040</t>
  </si>
  <si>
    <t>王玉玲</t>
  </si>
  <si>
    <t>320925199009306447</t>
  </si>
  <si>
    <t>QC</t>
  </si>
  <si>
    <t>RH-0041</t>
  </si>
  <si>
    <t>杨娟</t>
  </si>
  <si>
    <t>320925198506232026</t>
  </si>
  <si>
    <t>RH-0043</t>
  </si>
  <si>
    <t>吴志华</t>
  </si>
  <si>
    <t>320925197106206131</t>
  </si>
  <si>
    <t>15121126579</t>
  </si>
  <si>
    <t>RH-0045</t>
  </si>
  <si>
    <t>臧玲</t>
  </si>
  <si>
    <t>320925199205157426</t>
  </si>
  <si>
    <t>13182154384</t>
  </si>
  <si>
    <t>RH-0046</t>
  </si>
  <si>
    <t>桑以鹏</t>
  </si>
  <si>
    <t>320925198901263615</t>
  </si>
  <si>
    <t>18201820270</t>
  </si>
  <si>
    <t>RH-0047</t>
  </si>
  <si>
    <t>许伟巍</t>
  </si>
  <si>
    <t>320925198110160118</t>
  </si>
  <si>
    <t>RH-0049</t>
  </si>
  <si>
    <t>成中海</t>
  </si>
  <si>
    <t>320925197604084237</t>
  </si>
  <si>
    <t>13815588101</t>
  </si>
  <si>
    <t>RH-0051</t>
  </si>
  <si>
    <t>杨海英</t>
  </si>
  <si>
    <t>320925197008272020</t>
  </si>
  <si>
    <t>RH-0052</t>
  </si>
  <si>
    <t>单爱梅</t>
  </si>
  <si>
    <t>320925198310073123</t>
  </si>
  <si>
    <t>15380563056</t>
  </si>
  <si>
    <t>RH-0053</t>
  </si>
  <si>
    <t>顾艳</t>
  </si>
  <si>
    <t>320925198907205440</t>
  </si>
  <si>
    <t>13851146037</t>
  </si>
  <si>
    <t>物流部</t>
  </si>
  <si>
    <t>物流专员</t>
  </si>
  <si>
    <t>RH-0054</t>
  </si>
  <si>
    <t>谢玉娟</t>
  </si>
  <si>
    <t>320925198302081422</t>
  </si>
  <si>
    <t>13651592203</t>
  </si>
  <si>
    <t>RH-0055</t>
  </si>
  <si>
    <t>祁斯秀</t>
  </si>
  <si>
    <t>320911198102242828</t>
  </si>
  <si>
    <t>RH-0056</t>
  </si>
  <si>
    <t>梁硕</t>
  </si>
  <si>
    <t>320311198211115219</t>
  </si>
  <si>
    <t>RH-0061</t>
  </si>
  <si>
    <t>陆立兄</t>
  </si>
  <si>
    <t>320925198711084528</t>
  </si>
  <si>
    <t>18961906137</t>
  </si>
  <si>
    <t>有合同</t>
  </si>
  <si>
    <t>RH-0063</t>
  </si>
  <si>
    <t>孙翠娥</t>
  </si>
  <si>
    <t>320925198605246124</t>
  </si>
  <si>
    <t>RH-0068</t>
  </si>
  <si>
    <t>徐猛</t>
  </si>
  <si>
    <t>320925199308102516</t>
  </si>
  <si>
    <t>13725722141</t>
  </si>
  <si>
    <t>技术部</t>
  </si>
  <si>
    <t>技术专员</t>
  </si>
  <si>
    <t>RH-0073</t>
  </si>
  <si>
    <t>金晓玲</t>
  </si>
  <si>
    <t>320925199106082027</t>
  </si>
  <si>
    <t>RH-0082</t>
  </si>
  <si>
    <t>林胜群</t>
  </si>
  <si>
    <t>432326197404299322</t>
  </si>
  <si>
    <t>女</t>
  </si>
  <si>
    <t>RH-0084</t>
  </si>
  <si>
    <t>杨守兰</t>
  </si>
  <si>
    <t>320925197502272202</t>
  </si>
  <si>
    <t>RH-0086</t>
  </si>
  <si>
    <t>徐建高</t>
  </si>
  <si>
    <t>320925197212036439</t>
  </si>
  <si>
    <t>男</t>
  </si>
  <si>
    <t>意外险</t>
  </si>
  <si>
    <t>RH-0087</t>
  </si>
  <si>
    <t>刘启飞</t>
  </si>
  <si>
    <t>32092519911001457X</t>
  </si>
  <si>
    <t>劳务合同</t>
  </si>
  <si>
    <t>无</t>
  </si>
  <si>
    <t>RH-0092</t>
  </si>
  <si>
    <t>程清秀</t>
  </si>
  <si>
    <t>320925198904276745</t>
  </si>
  <si>
    <t>妈妈班</t>
  </si>
  <si>
    <t>RH-0094</t>
  </si>
  <si>
    <t>许君君</t>
  </si>
  <si>
    <t>320925199112026726</t>
  </si>
  <si>
    <t>人事</t>
  </si>
  <si>
    <t>RH-0102</t>
  </si>
  <si>
    <t>周宗香</t>
  </si>
  <si>
    <t>320925199510211425</t>
  </si>
  <si>
    <t>RH-0105</t>
  </si>
  <si>
    <t>魏丽</t>
  </si>
  <si>
    <t>320324197604141626</t>
  </si>
  <si>
    <t>巡检</t>
  </si>
  <si>
    <t>劳动合同</t>
  </si>
  <si>
    <t>RH-0108</t>
  </si>
  <si>
    <t>曹慧兰</t>
  </si>
  <si>
    <t>320925198901096423</t>
  </si>
  <si>
    <t>RH-0110</t>
  </si>
  <si>
    <t>周德先</t>
  </si>
  <si>
    <t>320925198109226415</t>
  </si>
  <si>
    <t>销售维护</t>
  </si>
  <si>
    <t>RH-0121</t>
  </si>
  <si>
    <t>陈静</t>
  </si>
  <si>
    <t>320925198702156745</t>
  </si>
  <si>
    <t>销售内勤</t>
  </si>
  <si>
    <t>RH-0124</t>
  </si>
  <si>
    <t>李晶晶</t>
  </si>
  <si>
    <t>320925198704255122</t>
  </si>
  <si>
    <t>18352088523</t>
  </si>
  <si>
    <t>RH-0125</t>
  </si>
  <si>
    <t>谷明玥</t>
  </si>
  <si>
    <t>320902199612168523</t>
  </si>
  <si>
    <t>标书专员</t>
  </si>
  <si>
    <t>RH-0126</t>
  </si>
  <si>
    <t>陈寿保</t>
  </si>
  <si>
    <t>320925196311096117</t>
  </si>
  <si>
    <t>门卫</t>
  </si>
  <si>
    <t>RH-0127</t>
  </si>
  <si>
    <t>陶其銮</t>
  </si>
  <si>
    <t>320925196311296127</t>
  </si>
  <si>
    <t>RH-0129</t>
  </si>
  <si>
    <t>朱亭亭</t>
  </si>
  <si>
    <t>320923198912245129</t>
  </si>
  <si>
    <t>粉线</t>
  </si>
  <si>
    <t>RH-0134</t>
  </si>
  <si>
    <t>周德才</t>
  </si>
  <si>
    <t>320925197610176410</t>
  </si>
  <si>
    <t>领料</t>
  </si>
  <si>
    <t>RH-0136</t>
  </si>
  <si>
    <t>马浩</t>
  </si>
  <si>
    <t>320925198010030033</t>
  </si>
  <si>
    <t>生产管理</t>
  </si>
  <si>
    <t>RH-0137</t>
  </si>
  <si>
    <t>薛松</t>
  </si>
  <si>
    <t>320925199607070016</t>
  </si>
  <si>
    <t>RH-0138</t>
  </si>
  <si>
    <t>金国玉</t>
  </si>
  <si>
    <t>320925199209272077</t>
  </si>
  <si>
    <t>仓管</t>
  </si>
  <si>
    <t>RH-0139</t>
  </si>
  <si>
    <t>柳祝琼</t>
  </si>
  <si>
    <t>422828199003093929</t>
  </si>
  <si>
    <t>远博</t>
  </si>
  <si>
    <t>RH-0143</t>
  </si>
  <si>
    <t>俞建</t>
  </si>
  <si>
    <t>320925199205210055</t>
  </si>
  <si>
    <t>维修工</t>
  </si>
  <si>
    <t>RH-0145</t>
  </si>
  <si>
    <t>徐为兵</t>
  </si>
  <si>
    <t>320923199011246030</t>
  </si>
  <si>
    <t>叉车工</t>
  </si>
  <si>
    <t>RH-0146</t>
  </si>
  <si>
    <t>梁旭</t>
  </si>
  <si>
    <t>320925199111092027</t>
  </si>
  <si>
    <t>RH-0149</t>
  </si>
  <si>
    <t>丁正秀</t>
  </si>
  <si>
    <t>320925197309152081</t>
  </si>
  <si>
    <t>食堂阿姨</t>
  </si>
  <si>
    <t>RH-0160</t>
  </si>
  <si>
    <t>吴昌亮</t>
  </si>
  <si>
    <t>320925199006195139</t>
  </si>
  <si>
    <t>司机</t>
  </si>
  <si>
    <t>RH-0168</t>
  </si>
  <si>
    <t>姜广芹</t>
  </si>
  <si>
    <t>320925198911051448</t>
  </si>
  <si>
    <t>RH-0173</t>
  </si>
  <si>
    <t>韩李信</t>
  </si>
  <si>
    <t>341225198504071536</t>
  </si>
  <si>
    <t>吹塑工程师</t>
  </si>
  <si>
    <t>RH-0178</t>
  </si>
  <si>
    <t>孙金鑫</t>
  </si>
  <si>
    <t>320925199010193654</t>
  </si>
  <si>
    <t>设备维修工</t>
  </si>
  <si>
    <t>0年1个月</t>
  </si>
  <si>
    <t>RH-0181</t>
  </si>
  <si>
    <t>周长军</t>
  </si>
  <si>
    <t>320925198304191430</t>
  </si>
  <si>
    <t>RH-0182</t>
  </si>
  <si>
    <t>杨海其</t>
  </si>
  <si>
    <t>320925196612233138</t>
  </si>
  <si>
    <t>RH-0184</t>
  </si>
  <si>
    <t>梁辉雄</t>
  </si>
  <si>
    <t>450703198712172722</t>
  </si>
  <si>
    <t>RH-0186</t>
  </si>
  <si>
    <t>郭红霞</t>
  </si>
  <si>
    <t>320925197602096728</t>
  </si>
  <si>
    <t>RH-0188</t>
  </si>
  <si>
    <t>李云</t>
  </si>
  <si>
    <t>320882198408283622</t>
  </si>
  <si>
    <t>RH-0190</t>
  </si>
  <si>
    <t>许国琴</t>
  </si>
  <si>
    <t>320925197602182028</t>
  </si>
  <si>
    <t>RH-0196</t>
  </si>
  <si>
    <t>孙起栋</t>
  </si>
  <si>
    <t>320925199112025117</t>
  </si>
  <si>
    <t>设备</t>
  </si>
  <si>
    <t>RH-0198</t>
  </si>
  <si>
    <t>黄正富</t>
  </si>
  <si>
    <t>320925196808205817</t>
  </si>
  <si>
    <t>领料工</t>
  </si>
  <si>
    <t>RH-0200</t>
  </si>
  <si>
    <t>李义岭</t>
  </si>
  <si>
    <t>320923197910155491</t>
  </si>
  <si>
    <t>RH-0202</t>
  </si>
  <si>
    <t>韩荣亮</t>
  </si>
  <si>
    <t>320925199008301433</t>
  </si>
  <si>
    <t>RH-0204</t>
  </si>
  <si>
    <t>卞正帅</t>
  </si>
  <si>
    <t>320925200512292519</t>
  </si>
  <si>
    <t>RH-0206</t>
  </si>
  <si>
    <t>王浩权</t>
  </si>
  <si>
    <t>320925200510136715</t>
  </si>
  <si>
    <t>RH-0212</t>
  </si>
  <si>
    <t>于瑞强</t>
  </si>
  <si>
    <t>320925198907243113</t>
  </si>
  <si>
    <t>RH-0213</t>
  </si>
  <si>
    <t>孙妍茜</t>
  </si>
  <si>
    <t>320925200508225823</t>
  </si>
  <si>
    <t>质量</t>
  </si>
  <si>
    <t>RH-0189</t>
  </si>
  <si>
    <t>韩佳霞</t>
  </si>
  <si>
    <t>310110198307083769</t>
  </si>
  <si>
    <t>RH-0214</t>
  </si>
  <si>
    <t>肖云飞</t>
  </si>
  <si>
    <t>320925199008020615</t>
  </si>
  <si>
    <t>RH-0216</t>
  </si>
  <si>
    <t>赵德勇</t>
  </si>
  <si>
    <t>320925197203181431</t>
  </si>
  <si>
    <t>RH-0219</t>
  </si>
  <si>
    <t>王娟</t>
  </si>
  <si>
    <t>320925198710023926</t>
  </si>
  <si>
    <t>会计</t>
  </si>
  <si>
    <t>RH-0220</t>
  </si>
  <si>
    <t>周红根</t>
  </si>
  <si>
    <t>320925197212227219</t>
  </si>
  <si>
    <t>RH-0221</t>
  </si>
  <si>
    <t>林少慧</t>
  </si>
  <si>
    <t>320925198909187025</t>
  </si>
  <si>
    <t>RH-0223</t>
  </si>
  <si>
    <t>刘广林</t>
  </si>
  <si>
    <t>320925197210292519</t>
  </si>
  <si>
    <t>RH-0224</t>
  </si>
  <si>
    <t>顾成娣</t>
  </si>
  <si>
    <t>320925198212202040</t>
  </si>
  <si>
    <t>RH-0225</t>
  </si>
  <si>
    <t>杨畅</t>
  </si>
  <si>
    <t>320722199008311228</t>
  </si>
  <si>
    <t>检验</t>
  </si>
  <si>
    <t>RH-0226</t>
  </si>
  <si>
    <t>程海贞</t>
  </si>
  <si>
    <t>320925199606166120</t>
  </si>
  <si>
    <t>RH-0227</t>
  </si>
  <si>
    <t>殷春燕</t>
  </si>
  <si>
    <t>32092519770523672x</t>
  </si>
  <si>
    <t>RH-0228</t>
  </si>
  <si>
    <t>周玲玲</t>
  </si>
  <si>
    <t>320925199310076425</t>
  </si>
  <si>
    <t>内勤</t>
  </si>
  <si>
    <t>RH-0229</t>
  </si>
  <si>
    <t>周权</t>
  </si>
  <si>
    <t>320925199212222038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</si>
</sst>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;@"/>
    <numFmt numFmtId="179" formatCode="0000\-00\-00"/>
  </numFmts>
  <fonts count="26">
    <font>
      <sz val="12"/>
      <name val="宋体"/>
      <charset val="134"/>
    </font>
    <font>
      <b/>
      <sz val="12"/>
      <name val="宋体"/>
      <charset val="134"/>
    </font>
    <font>
      <sz val="12"/>
      <color theme="8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6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0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179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58" fontId="0" fillId="0" borderId="3" xfId="0" applyNumberFormat="1" applyFont="1" applyBorder="1" applyAlignment="1">
      <alignment horizontal="center" vertical="center"/>
    </xf>
    <xf numFmtId="0" fontId="0" fillId="0" borderId="3" xfId="0" applyFont="1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4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5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58" fontId="3" fillId="0" borderId="3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7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58" fontId="3" fillId="0" borderId="11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178" fontId="3" fillId="0" borderId="11" xfId="0" applyNumberFormat="1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6" xfId="0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>
      <alignment vertical="center"/>
    </xf>
    <xf numFmtId="58" fontId="0" fillId="0" borderId="10" xfId="0" applyNumberFormat="1" applyBorder="1" applyAlignment="1">
      <alignment horizontal="center" vertical="center"/>
    </xf>
    <xf numFmtId="5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58" fontId="0" fillId="0" borderId="1" xfId="0" applyNumberFormat="1" applyBorder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0" fillId="0" borderId="3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2" xfId="0" applyFont="1" applyBorder="1" applyAlignment="1" quotePrefix="1">
      <alignment horizontal="center" vertical="center"/>
    </xf>
    <xf numFmtId="0" fontId="3" fillId="0" borderId="0" xfId="0" applyFont="1" applyAlignment="1" quotePrefix="1">
      <alignment horizontal="center" vertical="center"/>
    </xf>
    <xf numFmtId="0" fontId="3" fillId="0" borderId="3" xfId="0" applyFont="1" applyBorder="1" applyAlignment="1" quotePrefix="1">
      <alignment horizontal="center" vertical="center"/>
    </xf>
    <xf numFmtId="0" fontId="0" fillId="0" borderId="3" xfId="0" applyBorder="1" applyAlignment="1" quotePrefix="1">
      <alignment horizontal="center" vertical="center"/>
    </xf>
    <xf numFmtId="0" fontId="0" fillId="0" borderId="5" xfId="0" applyFont="1" applyFill="1" applyBorder="1" applyAlignment="1" quotePrefix="1">
      <alignment horizontal="center" vertical="center"/>
    </xf>
    <xf numFmtId="0" fontId="3" fillId="0" borderId="11" xfId="0" applyFont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25"/>
  <sheetViews>
    <sheetView tabSelected="1" zoomScale="85" zoomScaleNormal="85" workbookViewId="0">
      <pane xSplit="3" ySplit="2" topLeftCell="D3" activePane="bottomRight" state="frozen"/>
      <selection/>
      <selection pane="topRight"/>
      <selection pane="bottomLeft"/>
      <selection pane="bottomRight" activeCell="S104" sqref="S104:S107"/>
    </sheetView>
  </sheetViews>
  <sheetFormatPr defaultColWidth="9" defaultRowHeight="15" customHeight="1"/>
  <cols>
    <col min="1" max="1" width="5.625" style="6" customWidth="1"/>
    <col min="2" max="2" width="9.875" style="6" customWidth="1"/>
    <col min="3" max="3" width="7.375" style="6" customWidth="1"/>
    <col min="4" max="4" width="22.625" style="6" customWidth="1"/>
    <col min="5" max="5" width="13.0916666666667" style="6" customWidth="1"/>
    <col min="6" max="6" width="7.04166666666667" style="6" customWidth="1"/>
    <col min="7" max="7" width="7.15" style="6" customWidth="1"/>
    <col min="8" max="8" width="13.375" style="11" customWidth="1"/>
    <col min="9" max="9" width="12" style="12" customWidth="1"/>
    <col min="10" max="10" width="9.875" style="12" customWidth="1"/>
    <col min="11" max="11" width="7.375" style="6" customWidth="1"/>
    <col min="12" max="12" width="13.625" style="6" customWidth="1"/>
    <col min="13" max="13" width="11.5" style="6" customWidth="1"/>
    <col min="14" max="14" width="7.125" style="6" customWidth="1"/>
    <col min="15" max="15" width="26.7583333333333" style="6" customWidth="1"/>
    <col min="16" max="16" width="11.625" style="13" customWidth="1"/>
    <col min="17" max="17" width="18.25" style="13" customWidth="1"/>
    <col min="18" max="18" width="13.75" style="13" customWidth="1"/>
    <col min="19" max="19" width="7.875" style="13" customWidth="1"/>
    <col min="20" max="16384" width="9" style="6"/>
  </cols>
  <sheetData>
    <row r="1" s="1" customFormat="1" ht="31" customHeight="1" spans="1:255">
      <c r="A1" s="14" t="s">
        <v>0</v>
      </c>
      <c r="B1" s="14"/>
      <c r="C1" s="15"/>
      <c r="D1" s="15"/>
      <c r="E1" s="15"/>
      <c r="F1" s="15"/>
      <c r="G1" s="15"/>
      <c r="H1" s="16"/>
      <c r="I1" s="15"/>
      <c r="J1" s="17"/>
      <c r="K1" s="15"/>
      <c r="L1" s="15"/>
      <c r="M1" s="15"/>
      <c r="N1" s="15"/>
      <c r="O1" s="18"/>
      <c r="P1" s="13"/>
      <c r="Q1" s="13"/>
      <c r="R1" s="13"/>
      <c r="S1" s="13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</row>
    <row r="2" s="2" customFormat="1" customHeight="1" spans="1:25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6" t="s">
        <v>8</v>
      </c>
      <c r="I2" s="17" t="s">
        <v>9</v>
      </c>
      <c r="J2" s="17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8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</row>
    <row r="3" s="3" customFormat="1" customHeight="1" spans="1:255">
      <c r="A3" s="13">
        <v>1</v>
      </c>
      <c r="B3" s="13" t="s">
        <v>20</v>
      </c>
      <c r="C3" s="13" t="s">
        <v>21</v>
      </c>
      <c r="D3" s="105" t="s">
        <v>22</v>
      </c>
      <c r="E3" s="19">
        <v>19711224</v>
      </c>
      <c r="F3" s="13" t="str">
        <f t="shared" ref="F3:F51" si="0">IF(MOD(MID(D3,17,1),2),"男","女")</f>
        <v>男</v>
      </c>
      <c r="G3" s="13">
        <f ca="1" t="shared" ref="G3:G54" si="1">YEAR(NOW())-MID(D3,7,4)</f>
        <v>55</v>
      </c>
      <c r="H3" s="20">
        <v>13651590963</v>
      </c>
      <c r="I3" s="21">
        <v>38991</v>
      </c>
      <c r="J3" s="21"/>
      <c r="K3" s="13" t="s">
        <v>23</v>
      </c>
      <c r="L3" s="13" t="s">
        <v>24</v>
      </c>
      <c r="M3" s="13" t="str">
        <f ca="1" t="shared" ref="M3:M66" si="2">DATEDIF(I3,TODAY(),"Y")&amp;"年"&amp;DATEDIF(I3,TODAY(),"YM")&amp;"个月"</f>
        <v>19年6个月</v>
      </c>
      <c r="N3" s="13" t="s">
        <v>25</v>
      </c>
      <c r="O3" s="22"/>
      <c r="P3" s="13" t="s">
        <v>26</v>
      </c>
      <c r="Q3" s="23" t="s">
        <v>27</v>
      </c>
      <c r="R3" s="23" t="s">
        <v>28</v>
      </c>
      <c r="S3" s="23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</row>
    <row r="4" s="3" customFormat="1" customHeight="1" spans="1:255">
      <c r="A4" s="13">
        <v>2</v>
      </c>
      <c r="B4" s="13" t="s">
        <v>29</v>
      </c>
      <c r="C4" s="13" t="s">
        <v>30</v>
      </c>
      <c r="D4" s="13" t="s">
        <v>31</v>
      </c>
      <c r="E4" s="19">
        <v>19761012</v>
      </c>
      <c r="F4" s="13" t="str">
        <f t="shared" si="0"/>
        <v>男</v>
      </c>
      <c r="G4" s="13">
        <f ca="1" t="shared" si="1"/>
        <v>50</v>
      </c>
      <c r="H4" s="20">
        <v>15949125928</v>
      </c>
      <c r="I4" s="21">
        <v>40429</v>
      </c>
      <c r="J4" s="21"/>
      <c r="K4" s="13" t="s">
        <v>23</v>
      </c>
      <c r="L4" s="13" t="s">
        <v>24</v>
      </c>
      <c r="M4" s="13" t="str">
        <f ca="1" t="shared" si="2"/>
        <v>15年7个月</v>
      </c>
      <c r="N4" s="13" t="s">
        <v>25</v>
      </c>
      <c r="O4" s="22"/>
      <c r="P4" s="13" t="s">
        <v>26</v>
      </c>
      <c r="Q4" s="23" t="s">
        <v>27</v>
      </c>
      <c r="R4" s="23" t="s">
        <v>32</v>
      </c>
      <c r="S4" s="23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</row>
    <row r="5" s="3" customFormat="1" customHeight="1" spans="1:255">
      <c r="A5" s="13">
        <v>3</v>
      </c>
      <c r="B5" s="13" t="s">
        <v>33</v>
      </c>
      <c r="C5" s="13" t="s">
        <v>34</v>
      </c>
      <c r="D5" s="105" t="s">
        <v>35</v>
      </c>
      <c r="E5" s="19">
        <v>19851227</v>
      </c>
      <c r="F5" s="13" t="str">
        <f t="shared" si="0"/>
        <v>男</v>
      </c>
      <c r="G5" s="13">
        <f ca="1" t="shared" si="1"/>
        <v>41</v>
      </c>
      <c r="H5" s="20">
        <v>15949126928</v>
      </c>
      <c r="I5" s="21">
        <v>40429</v>
      </c>
      <c r="J5" s="21"/>
      <c r="K5" s="13" t="s">
        <v>23</v>
      </c>
      <c r="L5" s="13" t="s">
        <v>24</v>
      </c>
      <c r="M5" s="13" t="str">
        <f ca="1" t="shared" si="2"/>
        <v>15年7个月</v>
      </c>
      <c r="N5" s="13" t="s">
        <v>25</v>
      </c>
      <c r="O5" s="22"/>
      <c r="P5" s="13" t="s">
        <v>26</v>
      </c>
      <c r="Q5" s="23" t="s">
        <v>27</v>
      </c>
      <c r="R5" s="23" t="s">
        <v>36</v>
      </c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</row>
    <row r="6" s="3" customFormat="1" customHeight="1" spans="1:255">
      <c r="A6" s="13">
        <v>4</v>
      </c>
      <c r="B6" s="13" t="s">
        <v>37</v>
      </c>
      <c r="C6" s="13" t="s">
        <v>38</v>
      </c>
      <c r="D6" s="105" t="s">
        <v>39</v>
      </c>
      <c r="E6" s="19">
        <v>19890513</v>
      </c>
      <c r="F6" s="13" t="str">
        <f t="shared" si="0"/>
        <v>男</v>
      </c>
      <c r="G6" s="13">
        <f ca="1" t="shared" si="1"/>
        <v>37</v>
      </c>
      <c r="H6" s="20">
        <v>18251430272</v>
      </c>
      <c r="I6" s="21">
        <v>41131</v>
      </c>
      <c r="J6" s="21"/>
      <c r="K6" s="13" t="s">
        <v>23</v>
      </c>
      <c r="L6" s="13" t="s">
        <v>24</v>
      </c>
      <c r="M6" s="13" t="str">
        <f ca="1" t="shared" si="2"/>
        <v>13年8个月</v>
      </c>
      <c r="N6" s="13" t="s">
        <v>25</v>
      </c>
      <c r="O6" s="22"/>
      <c r="P6" s="13" t="s">
        <v>26</v>
      </c>
      <c r="Q6" s="23" t="s">
        <v>27</v>
      </c>
      <c r="R6" s="23" t="s">
        <v>40</v>
      </c>
      <c r="S6" s="23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</row>
    <row r="7" s="3" customFormat="1" customHeight="1" spans="1:255">
      <c r="A7" s="13">
        <v>5</v>
      </c>
      <c r="B7" s="13" t="s">
        <v>41</v>
      </c>
      <c r="C7" s="13" t="s">
        <v>42</v>
      </c>
      <c r="D7" s="105" t="s">
        <v>43</v>
      </c>
      <c r="E7" s="19">
        <v>19670112</v>
      </c>
      <c r="F7" s="13" t="str">
        <f t="shared" si="0"/>
        <v>男</v>
      </c>
      <c r="G7" s="13">
        <f ca="1" t="shared" si="1"/>
        <v>59</v>
      </c>
      <c r="H7" s="20">
        <v>15371193006</v>
      </c>
      <c r="I7" s="21">
        <v>41722</v>
      </c>
      <c r="J7" s="21"/>
      <c r="K7" s="13" t="s">
        <v>44</v>
      </c>
      <c r="L7" s="13" t="s">
        <v>45</v>
      </c>
      <c r="M7" s="13" t="str">
        <f ca="1" t="shared" si="2"/>
        <v>12年0个月</v>
      </c>
      <c r="N7" s="13" t="s">
        <v>25</v>
      </c>
      <c r="O7" s="22"/>
      <c r="P7" s="13" t="s">
        <v>26</v>
      </c>
      <c r="Q7" s="23" t="s">
        <v>27</v>
      </c>
      <c r="R7" s="23" t="s">
        <v>46</v>
      </c>
      <c r="S7" s="23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</row>
    <row r="8" s="3" customFormat="1" customHeight="1" spans="1:255">
      <c r="A8" s="13">
        <v>6</v>
      </c>
      <c r="B8" s="13" t="s">
        <v>47</v>
      </c>
      <c r="C8" s="13" t="s">
        <v>48</v>
      </c>
      <c r="D8" s="105" t="s">
        <v>49</v>
      </c>
      <c r="E8" s="19">
        <v>19860522</v>
      </c>
      <c r="F8" s="13" t="str">
        <f t="shared" si="0"/>
        <v>女</v>
      </c>
      <c r="G8" s="13">
        <f ca="1" t="shared" si="1"/>
        <v>40</v>
      </c>
      <c r="H8" s="20">
        <v>13814355696</v>
      </c>
      <c r="I8" s="21">
        <v>41744</v>
      </c>
      <c r="J8" s="21"/>
      <c r="K8" s="13" t="s">
        <v>50</v>
      </c>
      <c r="L8" s="13" t="s">
        <v>51</v>
      </c>
      <c r="M8" s="13" t="str">
        <f ca="1" t="shared" si="2"/>
        <v>11年11个月</v>
      </c>
      <c r="N8" s="13" t="s">
        <v>25</v>
      </c>
      <c r="O8" s="22"/>
      <c r="P8" s="25">
        <v>45291</v>
      </c>
      <c r="Q8" s="23" t="s">
        <v>27</v>
      </c>
      <c r="R8" s="23" t="s">
        <v>52</v>
      </c>
      <c r="S8" s="23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</row>
    <row r="9" s="3" customFormat="1" customHeight="1" spans="1:255">
      <c r="A9" s="13">
        <v>7</v>
      </c>
      <c r="B9" s="13" t="s">
        <v>53</v>
      </c>
      <c r="C9" s="13" t="s">
        <v>54</v>
      </c>
      <c r="D9" s="105" t="s">
        <v>55</v>
      </c>
      <c r="E9" s="19">
        <v>19850302</v>
      </c>
      <c r="F9" s="13" t="str">
        <f t="shared" si="0"/>
        <v>女</v>
      </c>
      <c r="G9" s="13">
        <f ca="1" t="shared" si="1"/>
        <v>41</v>
      </c>
      <c r="H9" s="20">
        <v>15358231812</v>
      </c>
      <c r="I9" s="21">
        <v>41985</v>
      </c>
      <c r="J9" s="21"/>
      <c r="K9" s="13" t="s">
        <v>56</v>
      </c>
      <c r="L9" s="13" t="s">
        <v>57</v>
      </c>
      <c r="M9" s="13" t="str">
        <f ca="1" t="shared" si="2"/>
        <v>11年4个月</v>
      </c>
      <c r="N9" s="13" t="s">
        <v>25</v>
      </c>
      <c r="O9" s="22"/>
      <c r="P9" s="13" t="s">
        <v>26</v>
      </c>
      <c r="Q9" s="23" t="s">
        <v>27</v>
      </c>
      <c r="R9" s="23" t="s">
        <v>36</v>
      </c>
      <c r="S9" s="23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</row>
    <row r="10" s="3" customFormat="1" customHeight="1" spans="1:255">
      <c r="A10" s="13">
        <v>8</v>
      </c>
      <c r="B10" s="13" t="s">
        <v>58</v>
      </c>
      <c r="C10" s="13" t="s">
        <v>59</v>
      </c>
      <c r="D10" s="105" t="s">
        <v>60</v>
      </c>
      <c r="E10" s="19">
        <v>19900608</v>
      </c>
      <c r="F10" s="13" t="str">
        <f t="shared" si="0"/>
        <v>男</v>
      </c>
      <c r="G10" s="13">
        <f ca="1" t="shared" si="1"/>
        <v>36</v>
      </c>
      <c r="H10" s="20">
        <v>13851164957</v>
      </c>
      <c r="I10" s="21">
        <v>42248</v>
      </c>
      <c r="J10" s="21"/>
      <c r="K10" s="13" t="s">
        <v>61</v>
      </c>
      <c r="L10" s="13" t="s">
        <v>62</v>
      </c>
      <c r="M10" s="13" t="str">
        <f ca="1" t="shared" si="2"/>
        <v>10年7个月</v>
      </c>
      <c r="N10" s="13" t="s">
        <v>25</v>
      </c>
      <c r="O10" s="22"/>
      <c r="P10" s="13" t="s">
        <v>26</v>
      </c>
      <c r="Q10" s="23" t="s">
        <v>27</v>
      </c>
      <c r="R10" s="23" t="s">
        <v>52</v>
      </c>
      <c r="S10" s="23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</row>
    <row r="11" s="3" customFormat="1" customHeight="1" spans="1:255">
      <c r="A11" s="13">
        <v>9</v>
      </c>
      <c r="B11" s="13" t="s">
        <v>63</v>
      </c>
      <c r="C11" s="13" t="s">
        <v>64</v>
      </c>
      <c r="D11" s="105" t="s">
        <v>65</v>
      </c>
      <c r="E11" s="19">
        <v>19900921</v>
      </c>
      <c r="F11" s="13" t="str">
        <f t="shared" si="0"/>
        <v>男</v>
      </c>
      <c r="G11" s="13">
        <f ca="1" t="shared" si="1"/>
        <v>36</v>
      </c>
      <c r="H11" s="20">
        <v>15962027137</v>
      </c>
      <c r="I11" s="21">
        <v>42293</v>
      </c>
      <c r="J11" s="21"/>
      <c r="K11" s="13" t="s">
        <v>23</v>
      </c>
      <c r="L11" s="13" t="s">
        <v>66</v>
      </c>
      <c r="M11" s="13" t="str">
        <f ca="1" t="shared" si="2"/>
        <v>10年5个月</v>
      </c>
      <c r="N11" s="13" t="s">
        <v>25</v>
      </c>
      <c r="O11" s="22"/>
      <c r="P11" s="13" t="s">
        <v>26</v>
      </c>
      <c r="Q11" s="23" t="s">
        <v>27</v>
      </c>
      <c r="R11" s="23" t="s">
        <v>28</v>
      </c>
      <c r="S11" s="23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</row>
    <row r="12" s="3" customFormat="1" customHeight="1" spans="1:255">
      <c r="A12" s="13">
        <v>10</v>
      </c>
      <c r="B12" s="13" t="s">
        <v>67</v>
      </c>
      <c r="C12" s="13" t="s">
        <v>68</v>
      </c>
      <c r="D12" s="105" t="s">
        <v>69</v>
      </c>
      <c r="E12" s="19">
        <v>19921229</v>
      </c>
      <c r="F12" s="13" t="str">
        <f t="shared" si="0"/>
        <v>女</v>
      </c>
      <c r="G12" s="13">
        <f ca="1" t="shared" si="1"/>
        <v>34</v>
      </c>
      <c r="H12" s="20">
        <v>13962078176</v>
      </c>
      <c r="I12" s="21">
        <v>42430</v>
      </c>
      <c r="J12" s="21"/>
      <c r="K12" s="13" t="s">
        <v>70</v>
      </c>
      <c r="L12" s="13" t="s">
        <v>71</v>
      </c>
      <c r="M12" s="13" t="str">
        <f ca="1" t="shared" si="2"/>
        <v>10年1个月</v>
      </c>
      <c r="N12" s="13" t="s">
        <v>25</v>
      </c>
      <c r="O12" s="22"/>
      <c r="P12" s="25">
        <v>46752</v>
      </c>
      <c r="Q12" s="23" t="s">
        <v>27</v>
      </c>
      <c r="R12" s="23" t="s">
        <v>52</v>
      </c>
      <c r="S12" s="23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</row>
    <row r="13" s="3" customFormat="1" customHeight="1" spans="1:255">
      <c r="A13" s="13">
        <v>11</v>
      </c>
      <c r="B13" s="13" t="s">
        <v>72</v>
      </c>
      <c r="C13" s="13" t="s">
        <v>73</v>
      </c>
      <c r="D13" s="105" t="s">
        <v>74</v>
      </c>
      <c r="E13" s="19">
        <v>19890102</v>
      </c>
      <c r="F13" s="13" t="str">
        <f t="shared" si="0"/>
        <v>男</v>
      </c>
      <c r="G13" s="13">
        <f ca="1" t="shared" si="1"/>
        <v>37</v>
      </c>
      <c r="H13" s="20">
        <v>15162228567</v>
      </c>
      <c r="I13" s="21">
        <v>42684</v>
      </c>
      <c r="J13" s="21"/>
      <c r="K13" s="13" t="s">
        <v>23</v>
      </c>
      <c r="L13" s="13" t="s">
        <v>66</v>
      </c>
      <c r="M13" s="13" t="str">
        <f ca="1" t="shared" si="2"/>
        <v>9年5个月</v>
      </c>
      <c r="N13" s="13" t="s">
        <v>25</v>
      </c>
      <c r="O13" s="22"/>
      <c r="P13" s="13" t="s">
        <v>26</v>
      </c>
      <c r="Q13" s="23" t="s">
        <v>27</v>
      </c>
      <c r="R13" s="23" t="s">
        <v>36</v>
      </c>
      <c r="S13" s="23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</row>
    <row r="14" s="3" customFormat="1" customHeight="1" spans="1:255">
      <c r="A14" s="13">
        <v>12</v>
      </c>
      <c r="B14" s="13" t="s">
        <v>75</v>
      </c>
      <c r="C14" s="13" t="s">
        <v>76</v>
      </c>
      <c r="D14" s="105" t="s">
        <v>77</v>
      </c>
      <c r="E14" s="19">
        <v>19900906</v>
      </c>
      <c r="F14" s="13" t="str">
        <f t="shared" si="0"/>
        <v>女</v>
      </c>
      <c r="G14" s="13">
        <f ca="1" t="shared" si="1"/>
        <v>36</v>
      </c>
      <c r="H14" s="20">
        <v>15251154600</v>
      </c>
      <c r="I14" s="21">
        <v>43024</v>
      </c>
      <c r="J14" s="21"/>
      <c r="K14" s="13" t="s">
        <v>78</v>
      </c>
      <c r="L14" s="13" t="s">
        <v>79</v>
      </c>
      <c r="M14" s="13" t="str">
        <f ca="1" t="shared" si="2"/>
        <v>8年5个月</v>
      </c>
      <c r="N14" s="13" t="s">
        <v>25</v>
      </c>
      <c r="O14" s="22"/>
      <c r="P14" s="13" t="s">
        <v>26</v>
      </c>
      <c r="Q14" s="26" t="s">
        <v>80</v>
      </c>
      <c r="R14" s="23" t="s">
        <v>28</v>
      </c>
      <c r="S14" s="23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</row>
    <row r="15" s="3" customFormat="1" customHeight="1" spans="1:255">
      <c r="A15" s="13">
        <v>13</v>
      </c>
      <c r="B15" s="13" t="s">
        <v>81</v>
      </c>
      <c r="C15" s="27" t="s">
        <v>82</v>
      </c>
      <c r="D15" s="106" t="s">
        <v>83</v>
      </c>
      <c r="E15" s="28">
        <v>19960205</v>
      </c>
      <c r="F15" s="13" t="str">
        <f t="shared" si="0"/>
        <v>女</v>
      </c>
      <c r="G15" s="13">
        <f ca="1" t="shared" si="1"/>
        <v>30</v>
      </c>
      <c r="H15" s="20">
        <v>15161907271</v>
      </c>
      <c r="I15" s="21">
        <v>43240</v>
      </c>
      <c r="J15" s="21"/>
      <c r="K15" s="13" t="s">
        <v>78</v>
      </c>
      <c r="L15" s="13" t="s">
        <v>84</v>
      </c>
      <c r="M15" s="13" t="str">
        <f ca="1" t="shared" si="2"/>
        <v>7年10个月</v>
      </c>
      <c r="N15" s="13" t="s">
        <v>25</v>
      </c>
      <c r="O15" s="22"/>
      <c r="P15" s="13" t="s">
        <v>26</v>
      </c>
      <c r="Q15" s="26" t="s">
        <v>80</v>
      </c>
      <c r="R15" s="23" t="s">
        <v>52</v>
      </c>
      <c r="S15" s="23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</row>
    <row r="16" s="3" customFormat="1" customHeight="1" spans="1:255">
      <c r="A16" s="13">
        <v>14</v>
      </c>
      <c r="B16" s="13" t="s">
        <v>85</v>
      </c>
      <c r="C16" s="13" t="s">
        <v>86</v>
      </c>
      <c r="D16" s="105" t="s">
        <v>87</v>
      </c>
      <c r="E16" s="19">
        <v>19940914</v>
      </c>
      <c r="F16" s="13" t="str">
        <f t="shared" si="0"/>
        <v>女</v>
      </c>
      <c r="G16" s="13">
        <f ca="1" t="shared" si="1"/>
        <v>32</v>
      </c>
      <c r="H16" s="20">
        <v>15195529458</v>
      </c>
      <c r="I16" s="21">
        <v>43341</v>
      </c>
      <c r="J16" s="21"/>
      <c r="K16" s="13" t="s">
        <v>56</v>
      </c>
      <c r="L16" s="13" t="s">
        <v>88</v>
      </c>
      <c r="M16" s="13" t="str">
        <f ca="1" t="shared" si="2"/>
        <v>7年7个月</v>
      </c>
      <c r="N16" s="13" t="s">
        <v>25</v>
      </c>
      <c r="O16" s="22"/>
      <c r="P16" s="25">
        <v>46995</v>
      </c>
      <c r="Q16" s="23" t="s">
        <v>27</v>
      </c>
      <c r="R16" s="23" t="s">
        <v>52</v>
      </c>
      <c r="S16" s="23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</row>
    <row r="17" s="3" customFormat="1" customHeight="1" spans="1:255">
      <c r="A17" s="13">
        <v>15</v>
      </c>
      <c r="B17" s="13" t="s">
        <v>89</v>
      </c>
      <c r="C17" s="27" t="s">
        <v>90</v>
      </c>
      <c r="D17" s="106" t="s">
        <v>91</v>
      </c>
      <c r="E17" s="28">
        <v>19710208</v>
      </c>
      <c r="F17" s="13" t="str">
        <f t="shared" si="0"/>
        <v>女</v>
      </c>
      <c r="G17" s="13">
        <f ca="1" t="shared" si="1"/>
        <v>55</v>
      </c>
      <c r="H17" s="20">
        <v>18796558445</v>
      </c>
      <c r="I17" s="21">
        <v>43371</v>
      </c>
      <c r="J17" s="21"/>
      <c r="K17" s="13" t="s">
        <v>70</v>
      </c>
      <c r="L17" s="13" t="s">
        <v>92</v>
      </c>
      <c r="M17" s="13" t="str">
        <f ca="1" t="shared" si="2"/>
        <v>7年6个月</v>
      </c>
      <c r="N17" s="13" t="s">
        <v>25</v>
      </c>
      <c r="O17" s="22"/>
      <c r="P17" s="29" t="s">
        <v>93</v>
      </c>
      <c r="Q17" s="23" t="s">
        <v>27</v>
      </c>
      <c r="R17" s="23"/>
      <c r="S17" s="23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</row>
    <row r="18" s="3" customFormat="1" customHeight="1" spans="1:255">
      <c r="A18" s="13">
        <v>16</v>
      </c>
      <c r="B18" s="13" t="s">
        <v>94</v>
      </c>
      <c r="C18" s="13" t="s">
        <v>95</v>
      </c>
      <c r="D18" s="105" t="s">
        <v>96</v>
      </c>
      <c r="E18" s="19">
        <v>19941118</v>
      </c>
      <c r="F18" s="13" t="str">
        <f t="shared" si="0"/>
        <v>女</v>
      </c>
      <c r="G18" s="13">
        <f ca="1" t="shared" si="1"/>
        <v>32</v>
      </c>
      <c r="H18" s="20">
        <v>13813228536</v>
      </c>
      <c r="I18" s="21">
        <v>43378</v>
      </c>
      <c r="J18" s="21"/>
      <c r="K18" s="13" t="s">
        <v>78</v>
      </c>
      <c r="L18" s="13" t="s">
        <v>84</v>
      </c>
      <c r="M18" s="13" t="str">
        <f ca="1" t="shared" si="2"/>
        <v>7年6个月</v>
      </c>
      <c r="N18" s="13" t="s">
        <v>25</v>
      </c>
      <c r="O18" s="22"/>
      <c r="P18" s="13" t="s">
        <v>26</v>
      </c>
      <c r="Q18" s="23" t="s">
        <v>27</v>
      </c>
      <c r="R18" s="23" t="s">
        <v>46</v>
      </c>
      <c r="S18" s="23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</row>
    <row r="19" s="3" customFormat="1" customHeight="1" spans="1:255">
      <c r="A19" s="13">
        <v>17</v>
      </c>
      <c r="B19" s="13" t="s">
        <v>97</v>
      </c>
      <c r="C19" s="13" t="s">
        <v>98</v>
      </c>
      <c r="D19" s="105" t="s">
        <v>99</v>
      </c>
      <c r="E19" s="19">
        <v>19970627</v>
      </c>
      <c r="F19" s="13" t="str">
        <f t="shared" si="0"/>
        <v>男</v>
      </c>
      <c r="G19" s="13">
        <f ca="1" t="shared" si="1"/>
        <v>29</v>
      </c>
      <c r="H19" s="20" t="s">
        <v>100</v>
      </c>
      <c r="I19" s="21">
        <v>43542</v>
      </c>
      <c r="J19" s="21"/>
      <c r="K19" s="13" t="s">
        <v>70</v>
      </c>
      <c r="L19" s="13" t="s">
        <v>101</v>
      </c>
      <c r="M19" s="13" t="str">
        <f ca="1" t="shared" si="2"/>
        <v>7年0个月</v>
      </c>
      <c r="N19" s="13" t="s">
        <v>25</v>
      </c>
      <c r="O19" s="22"/>
      <c r="P19" s="13" t="s">
        <v>26</v>
      </c>
      <c r="Q19" s="23" t="s">
        <v>27</v>
      </c>
      <c r="R19" s="23" t="s">
        <v>52</v>
      </c>
      <c r="S19" s="23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</row>
    <row r="20" s="3" customFormat="1" customHeight="1" spans="1:255">
      <c r="A20" s="13">
        <v>18</v>
      </c>
      <c r="B20" s="13" t="s">
        <v>102</v>
      </c>
      <c r="C20" s="13" t="s">
        <v>103</v>
      </c>
      <c r="D20" s="105" t="s">
        <v>104</v>
      </c>
      <c r="E20" s="19">
        <v>19921016</v>
      </c>
      <c r="F20" s="13" t="str">
        <f t="shared" si="0"/>
        <v>男</v>
      </c>
      <c r="G20" s="13">
        <f ca="1" t="shared" si="1"/>
        <v>34</v>
      </c>
      <c r="H20" s="20">
        <v>18071657610</v>
      </c>
      <c r="I20" s="21">
        <v>43594</v>
      </c>
      <c r="J20" s="21"/>
      <c r="K20" s="13" t="s">
        <v>23</v>
      </c>
      <c r="L20" s="13" t="s">
        <v>66</v>
      </c>
      <c r="M20" s="13" t="str">
        <f ca="1" t="shared" si="2"/>
        <v>6年11个月</v>
      </c>
      <c r="N20" s="13" t="s">
        <v>25</v>
      </c>
      <c r="O20" s="22"/>
      <c r="P20" s="13" t="s">
        <v>26</v>
      </c>
      <c r="Q20" s="23" t="s">
        <v>27</v>
      </c>
      <c r="R20" s="23" t="s">
        <v>36</v>
      </c>
      <c r="S20" s="23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</row>
    <row r="21" s="3" customFormat="1" customHeight="1" spans="1:255">
      <c r="A21" s="13">
        <v>19</v>
      </c>
      <c r="B21" s="13" t="s">
        <v>105</v>
      </c>
      <c r="C21" s="13" t="s">
        <v>106</v>
      </c>
      <c r="D21" s="105" t="s">
        <v>107</v>
      </c>
      <c r="E21" s="19">
        <v>19820125</v>
      </c>
      <c r="F21" s="13" t="str">
        <f t="shared" si="0"/>
        <v>女</v>
      </c>
      <c r="G21" s="13">
        <f ca="1" t="shared" si="1"/>
        <v>44</v>
      </c>
      <c r="H21" s="20">
        <v>13651599012</v>
      </c>
      <c r="I21" s="21">
        <v>43780</v>
      </c>
      <c r="J21" s="21"/>
      <c r="K21" s="13" t="s">
        <v>108</v>
      </c>
      <c r="L21" s="13" t="s">
        <v>109</v>
      </c>
      <c r="M21" s="13" t="str">
        <f ca="1" t="shared" si="2"/>
        <v>6年5个月</v>
      </c>
      <c r="N21" s="13" t="s">
        <v>25</v>
      </c>
      <c r="O21" s="22"/>
      <c r="P21" s="13" t="s">
        <v>26</v>
      </c>
      <c r="Q21" s="23" t="s">
        <v>27</v>
      </c>
      <c r="R21" s="23" t="s">
        <v>36</v>
      </c>
      <c r="S21" s="23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</row>
    <row r="22" s="3" customFormat="1" customHeight="1" spans="1:255">
      <c r="A22" s="13">
        <v>20</v>
      </c>
      <c r="B22" s="13" t="s">
        <v>110</v>
      </c>
      <c r="C22" s="13" t="s">
        <v>111</v>
      </c>
      <c r="D22" s="105" t="s">
        <v>112</v>
      </c>
      <c r="E22" s="19">
        <v>19811017</v>
      </c>
      <c r="F22" s="13" t="str">
        <f t="shared" si="0"/>
        <v>男</v>
      </c>
      <c r="G22" s="13">
        <f ca="1" t="shared" si="1"/>
        <v>45</v>
      </c>
      <c r="H22" s="20">
        <v>13770201848</v>
      </c>
      <c r="I22" s="21">
        <v>43787</v>
      </c>
      <c r="J22" s="21"/>
      <c r="K22" s="13" t="s">
        <v>23</v>
      </c>
      <c r="L22" s="13" t="s">
        <v>66</v>
      </c>
      <c r="M22" s="13" t="str">
        <f ca="1" t="shared" si="2"/>
        <v>6年4个月</v>
      </c>
      <c r="N22" s="13" t="s">
        <v>25</v>
      </c>
      <c r="O22" s="22"/>
      <c r="P22" s="13" t="s">
        <v>26</v>
      </c>
      <c r="Q22" s="23" t="s">
        <v>27</v>
      </c>
      <c r="R22" s="23" t="s">
        <v>28</v>
      </c>
      <c r="S22" s="23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</row>
    <row r="23" s="3" customFormat="1" customHeight="1" spans="1:255">
      <c r="A23" s="13">
        <v>21</v>
      </c>
      <c r="B23" s="13" t="s">
        <v>113</v>
      </c>
      <c r="C23" s="13" t="s">
        <v>114</v>
      </c>
      <c r="D23" s="105" t="s">
        <v>115</v>
      </c>
      <c r="E23" s="19">
        <v>19911014</v>
      </c>
      <c r="F23" s="13" t="str">
        <f t="shared" si="0"/>
        <v>男</v>
      </c>
      <c r="G23" s="13">
        <f ca="1" t="shared" si="1"/>
        <v>35</v>
      </c>
      <c r="H23" s="20">
        <v>13851145236</v>
      </c>
      <c r="I23" s="21">
        <v>43812</v>
      </c>
      <c r="J23" s="21"/>
      <c r="K23" s="13" t="s">
        <v>23</v>
      </c>
      <c r="L23" s="13" t="s">
        <v>66</v>
      </c>
      <c r="M23" s="13" t="str">
        <f ca="1" t="shared" si="2"/>
        <v>6年4个月</v>
      </c>
      <c r="N23" s="13" t="s">
        <v>25</v>
      </c>
      <c r="O23" s="22"/>
      <c r="P23" s="13" t="s">
        <v>26</v>
      </c>
      <c r="Q23" s="23" t="s">
        <v>27</v>
      </c>
      <c r="R23" s="23" t="s">
        <v>46</v>
      </c>
      <c r="S23" s="23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</row>
    <row r="24" s="3" customFormat="1" customHeight="1" spans="1:255">
      <c r="A24" s="13">
        <v>22</v>
      </c>
      <c r="B24" s="13" t="s">
        <v>116</v>
      </c>
      <c r="C24" s="13" t="s">
        <v>117</v>
      </c>
      <c r="D24" s="13" t="s">
        <v>118</v>
      </c>
      <c r="E24" s="19">
        <v>19720120</v>
      </c>
      <c r="F24" s="13" t="str">
        <f t="shared" si="0"/>
        <v>女</v>
      </c>
      <c r="G24" s="13">
        <f ca="1" t="shared" si="1"/>
        <v>54</v>
      </c>
      <c r="H24" s="20">
        <v>13815558027</v>
      </c>
      <c r="I24" s="21">
        <v>43874</v>
      </c>
      <c r="J24" s="21"/>
      <c r="K24" s="13" t="s">
        <v>70</v>
      </c>
      <c r="L24" s="13" t="s">
        <v>92</v>
      </c>
      <c r="M24" s="13" t="str">
        <f ca="1" t="shared" si="2"/>
        <v>6年2个月</v>
      </c>
      <c r="N24" s="13" t="s">
        <v>25</v>
      </c>
      <c r="O24" s="22"/>
      <c r="P24" s="13" t="s">
        <v>26</v>
      </c>
      <c r="Q24" s="26" t="s">
        <v>119</v>
      </c>
      <c r="R24" s="23"/>
      <c r="S24" s="23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</row>
    <row r="25" s="4" customFormat="1" customHeight="1" spans="1:255">
      <c r="A25" s="13">
        <v>23</v>
      </c>
      <c r="B25" s="27" t="s">
        <v>120</v>
      </c>
      <c r="C25" s="27" t="s">
        <v>121</v>
      </c>
      <c r="D25" s="106" t="s">
        <v>122</v>
      </c>
      <c r="E25" s="28">
        <v>19661021</v>
      </c>
      <c r="F25" s="27" t="str">
        <f t="shared" si="0"/>
        <v>男</v>
      </c>
      <c r="G25" s="27">
        <f ca="1" t="shared" si="1"/>
        <v>60</v>
      </c>
      <c r="H25" s="30">
        <v>13092114463</v>
      </c>
      <c r="I25" s="31">
        <v>43881</v>
      </c>
      <c r="J25" s="31"/>
      <c r="K25" s="27" t="s">
        <v>70</v>
      </c>
      <c r="L25" s="27" t="s">
        <v>92</v>
      </c>
      <c r="M25" s="27" t="str">
        <f ca="1" t="shared" si="2"/>
        <v>6年1个月</v>
      </c>
      <c r="N25" s="27" t="s">
        <v>25</v>
      </c>
      <c r="O25" s="32"/>
      <c r="P25" s="33">
        <v>44787</v>
      </c>
      <c r="Q25" s="34" t="s">
        <v>119</v>
      </c>
      <c r="R25" s="27"/>
      <c r="S25" s="27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</row>
    <row r="26" s="3" customFormat="1" customHeight="1" spans="1:255">
      <c r="A26" s="13">
        <v>24</v>
      </c>
      <c r="B26" s="13" t="s">
        <v>123</v>
      </c>
      <c r="C26" s="13" t="s">
        <v>124</v>
      </c>
      <c r="D26" s="105" t="s">
        <v>125</v>
      </c>
      <c r="E26" s="19">
        <v>19890416</v>
      </c>
      <c r="F26" s="13" t="str">
        <f t="shared" si="0"/>
        <v>女</v>
      </c>
      <c r="G26" s="13">
        <f ca="1" t="shared" si="1"/>
        <v>37</v>
      </c>
      <c r="H26" s="20">
        <v>15195525969</v>
      </c>
      <c r="I26" s="21">
        <v>43881</v>
      </c>
      <c r="J26" s="21"/>
      <c r="K26" s="13" t="s">
        <v>70</v>
      </c>
      <c r="L26" s="13" t="s">
        <v>92</v>
      </c>
      <c r="M26" s="13" t="str">
        <f ca="1" t="shared" si="2"/>
        <v>6年1个月</v>
      </c>
      <c r="N26" s="13" t="s">
        <v>25</v>
      </c>
      <c r="O26" s="22"/>
      <c r="P26" s="13" t="s">
        <v>26</v>
      </c>
      <c r="Q26" s="26" t="s">
        <v>119</v>
      </c>
      <c r="R26" s="23" t="s">
        <v>52</v>
      </c>
      <c r="S26" s="23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</row>
    <row r="27" s="3" customFormat="1" customHeight="1" spans="1:255">
      <c r="A27" s="13">
        <v>25</v>
      </c>
      <c r="B27" s="13" t="s">
        <v>126</v>
      </c>
      <c r="C27" s="13" t="s">
        <v>127</v>
      </c>
      <c r="D27" s="105" t="s">
        <v>128</v>
      </c>
      <c r="E27" s="19">
        <v>19850310</v>
      </c>
      <c r="F27" s="13" t="str">
        <f t="shared" si="0"/>
        <v>女</v>
      </c>
      <c r="G27" s="13">
        <f ca="1" t="shared" si="1"/>
        <v>41</v>
      </c>
      <c r="H27" s="20">
        <v>13814395813</v>
      </c>
      <c r="I27" s="21">
        <v>43885</v>
      </c>
      <c r="J27" s="21"/>
      <c r="K27" s="13" t="s">
        <v>129</v>
      </c>
      <c r="L27" s="13" t="s">
        <v>130</v>
      </c>
      <c r="M27" s="13" t="str">
        <f ca="1" t="shared" si="2"/>
        <v>6年1个月</v>
      </c>
      <c r="N27" s="13" t="s">
        <v>25</v>
      </c>
      <c r="O27" s="22"/>
      <c r="P27" s="13" t="s">
        <v>26</v>
      </c>
      <c r="Q27" s="23" t="s">
        <v>27</v>
      </c>
      <c r="R27" s="23" t="s">
        <v>52</v>
      </c>
      <c r="S27" s="23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</row>
    <row r="28" s="4" customFormat="1" customHeight="1" spans="1:255">
      <c r="A28" s="13">
        <v>26</v>
      </c>
      <c r="B28" s="27" t="s">
        <v>131</v>
      </c>
      <c r="C28" s="27" t="s">
        <v>132</v>
      </c>
      <c r="D28" s="106" t="s">
        <v>133</v>
      </c>
      <c r="E28" s="28">
        <v>19701007</v>
      </c>
      <c r="F28" s="27" t="str">
        <f t="shared" si="0"/>
        <v>男</v>
      </c>
      <c r="G28" s="27">
        <f ca="1" t="shared" si="1"/>
        <v>56</v>
      </c>
      <c r="H28" s="30">
        <v>13016539889</v>
      </c>
      <c r="I28" s="31">
        <v>43907</v>
      </c>
      <c r="J28" s="31"/>
      <c r="K28" s="27" t="s">
        <v>70</v>
      </c>
      <c r="L28" s="27" t="s">
        <v>92</v>
      </c>
      <c r="M28" s="27" t="str">
        <f ca="1" t="shared" si="2"/>
        <v>6年0个月</v>
      </c>
      <c r="N28" s="27" t="s">
        <v>25</v>
      </c>
      <c r="O28" s="32"/>
      <c r="P28" s="33">
        <v>44787</v>
      </c>
      <c r="Q28" s="34" t="s">
        <v>119</v>
      </c>
      <c r="R28" s="27"/>
      <c r="S28" s="27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</row>
    <row r="29" s="3" customFormat="1" customHeight="1" spans="1:255">
      <c r="A29" s="13">
        <v>27</v>
      </c>
      <c r="B29" s="13" t="s">
        <v>134</v>
      </c>
      <c r="C29" s="13" t="s">
        <v>135</v>
      </c>
      <c r="D29" s="105" t="s">
        <v>136</v>
      </c>
      <c r="E29" s="19">
        <v>19900903</v>
      </c>
      <c r="F29" s="13" t="str">
        <f t="shared" si="0"/>
        <v>女</v>
      </c>
      <c r="G29" s="13">
        <f ca="1" t="shared" si="1"/>
        <v>36</v>
      </c>
      <c r="H29" s="20">
        <v>15195158455</v>
      </c>
      <c r="I29" s="21">
        <v>43969</v>
      </c>
      <c r="J29" s="21"/>
      <c r="K29" s="13" t="s">
        <v>137</v>
      </c>
      <c r="L29" s="13" t="s">
        <v>138</v>
      </c>
      <c r="M29" s="13" t="str">
        <f ca="1" t="shared" si="2"/>
        <v>5年10个月</v>
      </c>
      <c r="N29" s="13" t="s">
        <v>25</v>
      </c>
      <c r="O29" s="22"/>
      <c r="P29" s="13" t="s">
        <v>26</v>
      </c>
      <c r="Q29" s="23" t="s">
        <v>27</v>
      </c>
      <c r="R29" s="23" t="s">
        <v>46</v>
      </c>
      <c r="S29" s="23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</row>
    <row r="30" s="4" customFormat="1" customHeight="1" spans="1:255">
      <c r="A30" s="13">
        <v>28</v>
      </c>
      <c r="B30" s="27" t="s">
        <v>139</v>
      </c>
      <c r="C30" s="27" t="s">
        <v>140</v>
      </c>
      <c r="D30" s="106" t="s">
        <v>141</v>
      </c>
      <c r="E30" s="28">
        <v>19890910</v>
      </c>
      <c r="F30" s="27" t="str">
        <f t="shared" si="0"/>
        <v>女</v>
      </c>
      <c r="G30" s="27">
        <f ca="1" t="shared" si="1"/>
        <v>37</v>
      </c>
      <c r="H30" s="30">
        <v>15751122228</v>
      </c>
      <c r="I30" s="31">
        <v>44250</v>
      </c>
      <c r="J30" s="31"/>
      <c r="K30" s="27" t="s">
        <v>78</v>
      </c>
      <c r="L30" s="27" t="s">
        <v>84</v>
      </c>
      <c r="M30" s="27" t="str">
        <f ca="1" t="shared" si="2"/>
        <v>5年1个月</v>
      </c>
      <c r="N30" s="27" t="s">
        <v>25</v>
      </c>
      <c r="O30" s="32"/>
      <c r="P30" s="34" t="s">
        <v>93</v>
      </c>
      <c r="Q30" s="34" t="s">
        <v>80</v>
      </c>
      <c r="R30" s="27"/>
      <c r="S30" s="27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</row>
    <row r="31" s="3" customFormat="1" customHeight="1" spans="1:255">
      <c r="A31" s="13">
        <v>29</v>
      </c>
      <c r="B31" s="13" t="s">
        <v>142</v>
      </c>
      <c r="C31" s="13" t="s">
        <v>143</v>
      </c>
      <c r="D31" s="105" t="s">
        <v>144</v>
      </c>
      <c r="E31" s="19">
        <v>19891111</v>
      </c>
      <c r="F31" s="13" t="str">
        <f t="shared" si="0"/>
        <v>女</v>
      </c>
      <c r="G31" s="13">
        <f ca="1" t="shared" si="1"/>
        <v>37</v>
      </c>
      <c r="H31" s="20">
        <v>13375263028</v>
      </c>
      <c r="I31" s="21">
        <v>44252</v>
      </c>
      <c r="J31" s="21"/>
      <c r="K31" s="13" t="s">
        <v>145</v>
      </c>
      <c r="L31" s="13" t="s">
        <v>109</v>
      </c>
      <c r="M31" s="13" t="str">
        <f ca="1" t="shared" si="2"/>
        <v>5年1个月</v>
      </c>
      <c r="N31" s="13" t="s">
        <v>25</v>
      </c>
      <c r="O31" s="22"/>
      <c r="P31" s="13" t="s">
        <v>26</v>
      </c>
      <c r="Q31" s="26" t="s">
        <v>80</v>
      </c>
      <c r="R31" s="23" t="s">
        <v>46</v>
      </c>
      <c r="S31" s="23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</row>
    <row r="32" s="3" customFormat="1" customHeight="1" spans="1:255">
      <c r="A32" s="13">
        <v>30</v>
      </c>
      <c r="B32" s="13" t="s">
        <v>146</v>
      </c>
      <c r="C32" s="13" t="s">
        <v>147</v>
      </c>
      <c r="D32" s="105" t="s">
        <v>148</v>
      </c>
      <c r="E32" s="19">
        <v>19960120</v>
      </c>
      <c r="F32" s="13" t="str">
        <f t="shared" si="0"/>
        <v>女</v>
      </c>
      <c r="G32" s="13">
        <f ca="1" t="shared" si="1"/>
        <v>30</v>
      </c>
      <c r="H32" s="20">
        <v>13605100637</v>
      </c>
      <c r="I32" s="21">
        <v>44254</v>
      </c>
      <c r="J32" s="21"/>
      <c r="K32" s="13" t="s">
        <v>145</v>
      </c>
      <c r="L32" s="13" t="s">
        <v>109</v>
      </c>
      <c r="M32" s="13" t="str">
        <f ca="1" t="shared" si="2"/>
        <v>5年1个月</v>
      </c>
      <c r="N32" s="13" t="s">
        <v>25</v>
      </c>
      <c r="O32" s="22"/>
      <c r="P32" s="13" t="s">
        <v>26</v>
      </c>
      <c r="Q32" s="26" t="s">
        <v>80</v>
      </c>
      <c r="R32" s="23" t="s">
        <v>28</v>
      </c>
      <c r="S32" s="23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</row>
    <row r="33" s="3" customFormat="1" customHeight="1" spans="1:255">
      <c r="A33" s="13">
        <v>31</v>
      </c>
      <c r="B33" s="13" t="s">
        <v>149</v>
      </c>
      <c r="C33" s="13" t="s">
        <v>150</v>
      </c>
      <c r="D33" s="105" t="s">
        <v>151</v>
      </c>
      <c r="E33" s="19">
        <v>19870617</v>
      </c>
      <c r="F33" s="13" t="str">
        <f t="shared" si="0"/>
        <v>男</v>
      </c>
      <c r="G33" s="13">
        <f ca="1" t="shared" si="1"/>
        <v>39</v>
      </c>
      <c r="H33" s="20">
        <v>13405675145</v>
      </c>
      <c r="I33" s="21">
        <v>44288</v>
      </c>
      <c r="J33" s="21"/>
      <c r="K33" s="13" t="s">
        <v>61</v>
      </c>
      <c r="L33" s="13" t="s">
        <v>152</v>
      </c>
      <c r="M33" s="13" t="str">
        <f ca="1" t="shared" si="2"/>
        <v>5年0个月</v>
      </c>
      <c r="N33" s="13" t="s">
        <v>25</v>
      </c>
      <c r="O33" s="22"/>
      <c r="P33" s="13" t="s">
        <v>26</v>
      </c>
      <c r="Q33" s="26" t="s">
        <v>80</v>
      </c>
      <c r="R33" s="23" t="s">
        <v>36</v>
      </c>
      <c r="S33" s="23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</row>
    <row r="34" s="3" customFormat="1" customHeight="1" spans="1:255">
      <c r="A34" s="13">
        <v>32</v>
      </c>
      <c r="B34" s="13" t="s">
        <v>153</v>
      </c>
      <c r="C34" s="13" t="s">
        <v>154</v>
      </c>
      <c r="D34" s="105" t="s">
        <v>155</v>
      </c>
      <c r="E34" s="19">
        <v>19680322</v>
      </c>
      <c r="F34" s="13" t="str">
        <f t="shared" si="0"/>
        <v>男</v>
      </c>
      <c r="G34" s="13">
        <f ca="1" t="shared" si="1"/>
        <v>58</v>
      </c>
      <c r="H34" s="20">
        <v>19850753186</v>
      </c>
      <c r="I34" s="21">
        <v>44299</v>
      </c>
      <c r="J34" s="21"/>
      <c r="K34" s="13" t="s">
        <v>137</v>
      </c>
      <c r="L34" s="13" t="s">
        <v>156</v>
      </c>
      <c r="M34" s="13" t="str">
        <f ca="1" t="shared" si="2"/>
        <v>5年0个月</v>
      </c>
      <c r="N34" s="13" t="s">
        <v>25</v>
      </c>
      <c r="O34" s="22"/>
      <c r="P34" s="13" t="s">
        <v>26</v>
      </c>
      <c r="Q34" s="26" t="s">
        <v>80</v>
      </c>
      <c r="R34" s="23" t="s">
        <v>28</v>
      </c>
      <c r="S34" s="23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</row>
    <row r="35" s="3" customFormat="1" customHeight="1" spans="1:255">
      <c r="A35" s="13">
        <v>33</v>
      </c>
      <c r="B35" s="13" t="s">
        <v>157</v>
      </c>
      <c r="C35" s="13" t="s">
        <v>158</v>
      </c>
      <c r="D35" s="13" t="s">
        <v>159</v>
      </c>
      <c r="E35" s="19">
        <v>19900930</v>
      </c>
      <c r="F35" s="13" t="str">
        <f t="shared" si="0"/>
        <v>女</v>
      </c>
      <c r="G35" s="13">
        <f ca="1" t="shared" si="1"/>
        <v>36</v>
      </c>
      <c r="H35" s="20">
        <v>15189374552</v>
      </c>
      <c r="I35" s="21">
        <v>44607</v>
      </c>
      <c r="J35" s="21"/>
      <c r="K35" s="13" t="s">
        <v>129</v>
      </c>
      <c r="L35" s="13" t="s">
        <v>160</v>
      </c>
      <c r="M35" s="13" t="str">
        <f ca="1" t="shared" si="2"/>
        <v>4年1个月</v>
      </c>
      <c r="N35" s="13" t="s">
        <v>25</v>
      </c>
      <c r="O35" s="22"/>
      <c r="P35" s="13" t="s">
        <v>26</v>
      </c>
      <c r="Q35" s="26" t="s">
        <v>80</v>
      </c>
      <c r="R35" s="23" t="s">
        <v>52</v>
      </c>
      <c r="S35" s="23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</row>
    <row r="36" s="3" customFormat="1" customHeight="1" spans="1:255">
      <c r="A36" s="13">
        <v>34</v>
      </c>
      <c r="B36" s="13" t="s">
        <v>161</v>
      </c>
      <c r="C36" s="13" t="s">
        <v>162</v>
      </c>
      <c r="D36" s="13" t="s">
        <v>163</v>
      </c>
      <c r="E36" s="19">
        <v>19850623</v>
      </c>
      <c r="F36" s="13" t="str">
        <f t="shared" si="0"/>
        <v>女</v>
      </c>
      <c r="G36" s="13">
        <f ca="1" t="shared" si="1"/>
        <v>41</v>
      </c>
      <c r="H36" s="20">
        <v>18962022995</v>
      </c>
      <c r="I36" s="21">
        <v>44609</v>
      </c>
      <c r="J36" s="21"/>
      <c r="K36" s="13" t="s">
        <v>108</v>
      </c>
      <c r="L36" s="13" t="s">
        <v>109</v>
      </c>
      <c r="M36" s="13" t="str">
        <f ca="1" t="shared" si="2"/>
        <v>4年1个月</v>
      </c>
      <c r="N36" s="13" t="s">
        <v>25</v>
      </c>
      <c r="O36" s="22"/>
      <c r="P36" s="13" t="s">
        <v>26</v>
      </c>
      <c r="Q36" s="26" t="s">
        <v>80</v>
      </c>
      <c r="R36" s="23" t="s">
        <v>36</v>
      </c>
      <c r="S36" s="23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</row>
    <row r="37" s="4" customFormat="1" customHeight="1" spans="1:255">
      <c r="A37" s="13">
        <v>35</v>
      </c>
      <c r="B37" s="27" t="s">
        <v>164</v>
      </c>
      <c r="C37" s="27" t="s">
        <v>165</v>
      </c>
      <c r="D37" s="27" t="s">
        <v>166</v>
      </c>
      <c r="E37" s="28">
        <v>19710620</v>
      </c>
      <c r="F37" s="27" t="str">
        <f t="shared" si="0"/>
        <v>男</v>
      </c>
      <c r="G37" s="27">
        <f ca="1" t="shared" si="1"/>
        <v>55</v>
      </c>
      <c r="H37" s="30" t="s">
        <v>167</v>
      </c>
      <c r="I37" s="31">
        <v>44657</v>
      </c>
      <c r="J37" s="31"/>
      <c r="K37" s="27" t="s">
        <v>70</v>
      </c>
      <c r="L37" s="27" t="s">
        <v>92</v>
      </c>
      <c r="M37" s="27" t="str">
        <f ca="1" t="shared" si="2"/>
        <v>4年0个月</v>
      </c>
      <c r="N37" s="27" t="s">
        <v>25</v>
      </c>
      <c r="O37" s="32"/>
      <c r="P37" s="27" t="s">
        <v>26</v>
      </c>
      <c r="Q37" s="34" t="s">
        <v>80</v>
      </c>
      <c r="R37" s="27"/>
      <c r="S37" s="27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</row>
    <row r="38" s="3" customFormat="1" customHeight="1" spans="1:255">
      <c r="A38" s="13">
        <v>36</v>
      </c>
      <c r="B38" s="13" t="s">
        <v>168</v>
      </c>
      <c r="C38" s="13" t="s">
        <v>169</v>
      </c>
      <c r="D38" s="13" t="s">
        <v>170</v>
      </c>
      <c r="E38" s="19">
        <v>19920515</v>
      </c>
      <c r="F38" s="13" t="str">
        <f t="shared" si="0"/>
        <v>女</v>
      </c>
      <c r="G38" s="13">
        <f ca="1" t="shared" si="1"/>
        <v>34</v>
      </c>
      <c r="H38" s="20" t="s">
        <v>171</v>
      </c>
      <c r="I38" s="21">
        <v>44669</v>
      </c>
      <c r="J38" s="21"/>
      <c r="K38" s="13" t="s">
        <v>129</v>
      </c>
      <c r="L38" s="13" t="s">
        <v>160</v>
      </c>
      <c r="M38" s="13" t="str">
        <f ca="1" t="shared" si="2"/>
        <v>3年11个月</v>
      </c>
      <c r="N38" s="13" t="s">
        <v>25</v>
      </c>
      <c r="O38" s="22"/>
      <c r="P38" s="13" t="s">
        <v>26</v>
      </c>
      <c r="Q38" s="26" t="s">
        <v>80</v>
      </c>
      <c r="R38" s="23" t="s">
        <v>52</v>
      </c>
      <c r="S38" s="23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</row>
    <row r="39" s="3" customFormat="1" customHeight="1" spans="1:255">
      <c r="A39" s="13">
        <v>37</v>
      </c>
      <c r="B39" s="13" t="s">
        <v>172</v>
      </c>
      <c r="C39" s="13" t="s">
        <v>173</v>
      </c>
      <c r="D39" s="105" t="s">
        <v>174</v>
      </c>
      <c r="E39" s="19">
        <v>19890126</v>
      </c>
      <c r="F39" s="13" t="str">
        <f t="shared" si="0"/>
        <v>男</v>
      </c>
      <c r="G39" s="13">
        <f ca="1" t="shared" si="1"/>
        <v>37</v>
      </c>
      <c r="H39" s="20" t="s">
        <v>175</v>
      </c>
      <c r="I39" s="21">
        <v>44685</v>
      </c>
      <c r="J39" s="21"/>
      <c r="K39" s="13" t="s">
        <v>23</v>
      </c>
      <c r="L39" s="13" t="s">
        <v>66</v>
      </c>
      <c r="M39" s="13" t="str">
        <f ca="1" t="shared" si="2"/>
        <v>3年11个月</v>
      </c>
      <c r="N39" s="13" t="s">
        <v>25</v>
      </c>
      <c r="O39" s="22"/>
      <c r="P39" s="29" t="s">
        <v>93</v>
      </c>
      <c r="Q39" s="26" t="s">
        <v>80</v>
      </c>
      <c r="R39" s="23" t="s">
        <v>46</v>
      </c>
      <c r="S39" s="23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</row>
    <row r="40" s="3" customFormat="1" customHeight="1" spans="1:255">
      <c r="A40" s="13">
        <v>38</v>
      </c>
      <c r="B40" s="13" t="s">
        <v>176</v>
      </c>
      <c r="C40" s="13" t="s">
        <v>177</v>
      </c>
      <c r="D40" s="105" t="s">
        <v>178</v>
      </c>
      <c r="E40" s="19">
        <v>19811016</v>
      </c>
      <c r="F40" s="13" t="str">
        <f t="shared" si="0"/>
        <v>男</v>
      </c>
      <c r="G40" s="13">
        <f ca="1" t="shared" si="1"/>
        <v>45</v>
      </c>
      <c r="H40" s="20">
        <v>13921852777</v>
      </c>
      <c r="I40" s="21">
        <v>44688</v>
      </c>
      <c r="J40" s="21"/>
      <c r="K40" s="13" t="s">
        <v>23</v>
      </c>
      <c r="L40" s="13" t="s">
        <v>66</v>
      </c>
      <c r="M40" s="13" t="str">
        <f ca="1" t="shared" si="2"/>
        <v>3年11个月</v>
      </c>
      <c r="N40" s="13" t="s">
        <v>25</v>
      </c>
      <c r="O40" s="22"/>
      <c r="P40" s="13" t="s">
        <v>26</v>
      </c>
      <c r="Q40" s="26" t="s">
        <v>80</v>
      </c>
      <c r="R40" s="23" t="s">
        <v>36</v>
      </c>
      <c r="S40" s="23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</row>
    <row r="41" s="3" customFormat="1" customHeight="1" spans="1:255">
      <c r="A41" s="13">
        <v>39</v>
      </c>
      <c r="B41" s="13" t="s">
        <v>179</v>
      </c>
      <c r="C41" s="13" t="s">
        <v>180</v>
      </c>
      <c r="D41" s="105" t="s">
        <v>181</v>
      </c>
      <c r="E41" s="19">
        <v>19760408</v>
      </c>
      <c r="F41" s="13" t="str">
        <f t="shared" si="0"/>
        <v>男</v>
      </c>
      <c r="G41" s="13">
        <f ca="1" t="shared" si="1"/>
        <v>50</v>
      </c>
      <c r="H41" s="20" t="s">
        <v>182</v>
      </c>
      <c r="I41" s="21">
        <v>44722</v>
      </c>
      <c r="J41" s="21"/>
      <c r="K41" s="13" t="s">
        <v>70</v>
      </c>
      <c r="L41" s="13" t="s">
        <v>92</v>
      </c>
      <c r="M41" s="13" t="str">
        <f ca="1" t="shared" si="2"/>
        <v>3年10个月</v>
      </c>
      <c r="N41" s="13" t="s">
        <v>25</v>
      </c>
      <c r="O41" s="22"/>
      <c r="P41" s="13" t="s">
        <v>26</v>
      </c>
      <c r="Q41" s="26" t="s">
        <v>80</v>
      </c>
      <c r="R41" s="23" t="s">
        <v>52</v>
      </c>
      <c r="S41" s="23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</row>
    <row r="42" s="3" customFormat="1" customHeight="1" spans="1:255">
      <c r="A42" s="13">
        <v>40</v>
      </c>
      <c r="B42" s="13" t="s">
        <v>183</v>
      </c>
      <c r="C42" s="13" t="s">
        <v>184</v>
      </c>
      <c r="D42" s="105" t="s">
        <v>185</v>
      </c>
      <c r="E42" s="19">
        <v>19700827</v>
      </c>
      <c r="F42" s="13" t="str">
        <f t="shared" si="0"/>
        <v>女</v>
      </c>
      <c r="G42" s="13">
        <f ca="1" t="shared" si="1"/>
        <v>56</v>
      </c>
      <c r="H42" s="20">
        <v>15151067827</v>
      </c>
      <c r="I42" s="21">
        <v>44807</v>
      </c>
      <c r="J42" s="21"/>
      <c r="K42" s="13" t="s">
        <v>70</v>
      </c>
      <c r="L42" s="13" t="s">
        <v>92</v>
      </c>
      <c r="M42" s="13" t="str">
        <f ca="1" t="shared" si="2"/>
        <v>3年7个月</v>
      </c>
      <c r="N42" s="13" t="s">
        <v>25</v>
      </c>
      <c r="O42" s="22"/>
      <c r="P42" s="13" t="s">
        <v>26</v>
      </c>
      <c r="Q42" s="26" t="s">
        <v>80</v>
      </c>
      <c r="R42" s="23"/>
      <c r="S42" s="23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</row>
    <row r="43" s="3" customFormat="1" customHeight="1" spans="1:255">
      <c r="A43" s="13">
        <v>41</v>
      </c>
      <c r="B43" s="13" t="s">
        <v>186</v>
      </c>
      <c r="C43" s="13" t="s">
        <v>187</v>
      </c>
      <c r="D43" s="13" t="s">
        <v>188</v>
      </c>
      <c r="E43" s="19">
        <v>19831007</v>
      </c>
      <c r="F43" s="13" t="str">
        <f t="shared" si="0"/>
        <v>女</v>
      </c>
      <c r="G43" s="13">
        <f ca="1" t="shared" si="1"/>
        <v>43</v>
      </c>
      <c r="H43" s="20" t="s">
        <v>189</v>
      </c>
      <c r="I43" s="21">
        <v>44907</v>
      </c>
      <c r="J43" s="21"/>
      <c r="K43" s="13" t="s">
        <v>78</v>
      </c>
      <c r="L43" s="13" t="s">
        <v>84</v>
      </c>
      <c r="M43" s="13" t="str">
        <f ca="1" t="shared" si="2"/>
        <v>3年4个月</v>
      </c>
      <c r="N43" s="13" t="s">
        <v>25</v>
      </c>
      <c r="O43" s="22"/>
      <c r="P43" s="13" t="s">
        <v>26</v>
      </c>
      <c r="Q43" s="26" t="s">
        <v>80</v>
      </c>
      <c r="R43" s="23" t="s">
        <v>36</v>
      </c>
      <c r="S43" s="23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</row>
    <row r="44" s="3" customFormat="1" customHeight="1" spans="1:255">
      <c r="A44" s="13">
        <v>42</v>
      </c>
      <c r="B44" s="13" t="s">
        <v>190</v>
      </c>
      <c r="C44" s="13" t="s">
        <v>191</v>
      </c>
      <c r="D44" s="105" t="s">
        <v>192</v>
      </c>
      <c r="E44" s="19">
        <v>19890720</v>
      </c>
      <c r="F44" s="13" t="str">
        <f t="shared" si="0"/>
        <v>女</v>
      </c>
      <c r="G44" s="13">
        <f ca="1" t="shared" si="1"/>
        <v>37</v>
      </c>
      <c r="H44" s="20" t="s">
        <v>193</v>
      </c>
      <c r="I44" s="21">
        <v>44932</v>
      </c>
      <c r="J44" s="21"/>
      <c r="K44" s="13" t="s">
        <v>194</v>
      </c>
      <c r="L44" s="13" t="s">
        <v>195</v>
      </c>
      <c r="M44" s="13" t="str">
        <f ca="1" t="shared" si="2"/>
        <v>3年3个月</v>
      </c>
      <c r="N44" s="13" t="s">
        <v>25</v>
      </c>
      <c r="O44" s="22"/>
      <c r="P44" s="13" t="s">
        <v>26</v>
      </c>
      <c r="Q44" s="26" t="s">
        <v>80</v>
      </c>
      <c r="R44" s="23" t="s">
        <v>36</v>
      </c>
      <c r="S44" s="23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</row>
    <row r="45" s="3" customFormat="1" customHeight="1" spans="1:255">
      <c r="A45" s="13">
        <v>43</v>
      </c>
      <c r="B45" s="13" t="s">
        <v>196</v>
      </c>
      <c r="C45" s="27" t="s">
        <v>197</v>
      </c>
      <c r="D45" s="27" t="s">
        <v>198</v>
      </c>
      <c r="E45" s="28">
        <v>19830208</v>
      </c>
      <c r="F45" s="13" t="str">
        <f t="shared" si="0"/>
        <v>女</v>
      </c>
      <c r="G45" s="13">
        <f ca="1" t="shared" si="1"/>
        <v>43</v>
      </c>
      <c r="H45" s="20" t="s">
        <v>199</v>
      </c>
      <c r="I45" s="21">
        <v>44953</v>
      </c>
      <c r="J45" s="21"/>
      <c r="K45" s="13" t="s">
        <v>70</v>
      </c>
      <c r="L45" s="13" t="s">
        <v>92</v>
      </c>
      <c r="M45" s="13" t="str">
        <f ca="1" t="shared" si="2"/>
        <v>3年2个月</v>
      </c>
      <c r="N45" s="13" t="s">
        <v>25</v>
      </c>
      <c r="O45" s="22"/>
      <c r="P45" s="13" t="s">
        <v>26</v>
      </c>
      <c r="Q45" s="26" t="s">
        <v>80</v>
      </c>
      <c r="R45" s="23" t="s">
        <v>52</v>
      </c>
      <c r="S45" s="23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</row>
    <row r="46" s="3" customFormat="1" customHeight="1" spans="1:255">
      <c r="A46" s="13">
        <v>44</v>
      </c>
      <c r="B46" s="13" t="s">
        <v>200</v>
      </c>
      <c r="C46" s="27" t="s">
        <v>201</v>
      </c>
      <c r="D46" s="106" t="s">
        <v>202</v>
      </c>
      <c r="E46" s="28">
        <v>19810224</v>
      </c>
      <c r="F46" s="13" t="str">
        <f t="shared" si="0"/>
        <v>女</v>
      </c>
      <c r="G46" s="13">
        <f ca="1" t="shared" si="1"/>
        <v>45</v>
      </c>
      <c r="H46" s="20">
        <v>19516522351</v>
      </c>
      <c r="I46" s="21">
        <v>44956</v>
      </c>
      <c r="J46" s="21"/>
      <c r="K46" s="13" t="s">
        <v>70</v>
      </c>
      <c r="L46" s="13" t="s">
        <v>92</v>
      </c>
      <c r="M46" s="13" t="str">
        <f ca="1" t="shared" si="2"/>
        <v>3年2个月</v>
      </c>
      <c r="N46" s="13" t="s">
        <v>25</v>
      </c>
      <c r="O46" s="22"/>
      <c r="P46" s="13" t="s">
        <v>26</v>
      </c>
      <c r="Q46" s="26" t="s">
        <v>80</v>
      </c>
      <c r="R46" s="23" t="s">
        <v>52</v>
      </c>
      <c r="S46" s="23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</row>
    <row r="47" s="5" customFormat="1" customHeight="1" spans="1:255">
      <c r="A47" s="13">
        <v>45</v>
      </c>
      <c r="B47" s="13" t="s">
        <v>203</v>
      </c>
      <c r="C47" s="13" t="s">
        <v>204</v>
      </c>
      <c r="D47" s="105" t="s">
        <v>205</v>
      </c>
      <c r="E47" s="19">
        <v>19821111</v>
      </c>
      <c r="F47" s="13" t="str">
        <f t="shared" si="0"/>
        <v>男</v>
      </c>
      <c r="G47" s="13">
        <f ca="1" t="shared" si="1"/>
        <v>44</v>
      </c>
      <c r="H47" s="20">
        <v>15950687608</v>
      </c>
      <c r="I47" s="21">
        <v>44957</v>
      </c>
      <c r="J47" s="21"/>
      <c r="K47" s="13" t="s">
        <v>23</v>
      </c>
      <c r="L47" s="13" t="s">
        <v>66</v>
      </c>
      <c r="M47" s="13" t="str">
        <f ca="1" t="shared" si="2"/>
        <v>3年2个月</v>
      </c>
      <c r="N47" s="13" t="s">
        <v>25</v>
      </c>
      <c r="O47" s="22"/>
      <c r="P47" s="29" t="s">
        <v>93</v>
      </c>
      <c r="Q47" s="35" t="s">
        <v>80</v>
      </c>
      <c r="R47" s="36"/>
      <c r="S47" s="36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  <c r="IQ47" s="37"/>
      <c r="IR47" s="37"/>
      <c r="IS47" s="37"/>
      <c r="IT47" s="37"/>
      <c r="IU47" s="37"/>
    </row>
    <row r="48" s="3" customFormat="1" customHeight="1" spans="1:255">
      <c r="A48" s="13">
        <v>46</v>
      </c>
      <c r="B48" s="13" t="s">
        <v>206</v>
      </c>
      <c r="C48" s="13" t="s">
        <v>207</v>
      </c>
      <c r="D48" s="13" t="s">
        <v>208</v>
      </c>
      <c r="E48" s="19">
        <v>19871108</v>
      </c>
      <c r="F48" s="13" t="str">
        <f t="shared" si="0"/>
        <v>女</v>
      </c>
      <c r="G48" s="13">
        <f ca="1" t="shared" si="1"/>
        <v>39</v>
      </c>
      <c r="H48" s="20" t="s">
        <v>209</v>
      </c>
      <c r="I48" s="21">
        <v>44971</v>
      </c>
      <c r="J48" s="21"/>
      <c r="K48" s="13" t="s">
        <v>70</v>
      </c>
      <c r="L48" s="13" t="s">
        <v>92</v>
      </c>
      <c r="M48" s="13" t="str">
        <f ca="1" t="shared" si="2"/>
        <v>3年1个月</v>
      </c>
      <c r="N48" s="13" t="s">
        <v>25</v>
      </c>
      <c r="O48" s="22"/>
      <c r="P48" s="13" t="s">
        <v>210</v>
      </c>
      <c r="Q48" s="26" t="s">
        <v>80</v>
      </c>
      <c r="R48" s="23" t="s">
        <v>52</v>
      </c>
      <c r="S48" s="23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</row>
    <row r="49" s="4" customFormat="1" customHeight="1" spans="1:255">
      <c r="A49" s="13">
        <v>47</v>
      </c>
      <c r="B49" s="27" t="s">
        <v>211</v>
      </c>
      <c r="C49" s="27" t="s">
        <v>212</v>
      </c>
      <c r="D49" s="106" t="s">
        <v>213</v>
      </c>
      <c r="E49" s="28">
        <v>19860524</v>
      </c>
      <c r="F49" s="27" t="str">
        <f t="shared" si="0"/>
        <v>女</v>
      </c>
      <c r="G49" s="27">
        <f ca="1" t="shared" si="1"/>
        <v>40</v>
      </c>
      <c r="H49" s="30">
        <v>15961900782</v>
      </c>
      <c r="I49" s="31">
        <v>44991</v>
      </c>
      <c r="J49" s="31"/>
      <c r="K49" s="27" t="s">
        <v>50</v>
      </c>
      <c r="L49" s="27" t="s">
        <v>109</v>
      </c>
      <c r="M49" s="27" t="str">
        <f ca="1" t="shared" si="2"/>
        <v>3年1个月</v>
      </c>
      <c r="N49" s="27" t="s">
        <v>25</v>
      </c>
      <c r="O49" s="32"/>
      <c r="P49" s="38" t="s">
        <v>93</v>
      </c>
      <c r="Q49" s="34" t="s">
        <v>80</v>
      </c>
      <c r="R49" s="27"/>
      <c r="S49" s="27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</row>
    <row r="50" s="3" customFormat="1" customHeight="1" spans="1:255">
      <c r="A50" s="13">
        <v>48</v>
      </c>
      <c r="B50" s="13" t="s">
        <v>214</v>
      </c>
      <c r="C50" s="13" t="s">
        <v>215</v>
      </c>
      <c r="D50" s="13" t="s">
        <v>216</v>
      </c>
      <c r="E50" s="19">
        <v>19930810</v>
      </c>
      <c r="F50" s="13" t="str">
        <f t="shared" si="0"/>
        <v>男</v>
      </c>
      <c r="G50" s="13">
        <f ca="1" t="shared" si="1"/>
        <v>33</v>
      </c>
      <c r="H50" s="20" t="s">
        <v>217</v>
      </c>
      <c r="I50" s="21">
        <v>45078</v>
      </c>
      <c r="J50" s="21"/>
      <c r="K50" s="13" t="s">
        <v>218</v>
      </c>
      <c r="L50" s="13" t="s">
        <v>219</v>
      </c>
      <c r="M50" s="13" t="str">
        <f ca="1" t="shared" si="2"/>
        <v>2年10个月</v>
      </c>
      <c r="N50" s="13" t="s">
        <v>25</v>
      </c>
      <c r="O50" s="22"/>
      <c r="P50" s="13" t="s">
        <v>26</v>
      </c>
      <c r="Q50" s="23" t="s">
        <v>27</v>
      </c>
      <c r="R50" s="23" t="s">
        <v>52</v>
      </c>
      <c r="S50" s="23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</row>
    <row r="51" s="3" customFormat="1" customHeight="1" spans="1:255">
      <c r="A51" s="13">
        <v>49</v>
      </c>
      <c r="B51" s="13" t="s">
        <v>220</v>
      </c>
      <c r="C51" s="13" t="s">
        <v>221</v>
      </c>
      <c r="D51" s="105" t="s">
        <v>222</v>
      </c>
      <c r="E51" s="19">
        <v>19910608</v>
      </c>
      <c r="F51" s="13" t="str">
        <f t="shared" si="0"/>
        <v>女</v>
      </c>
      <c r="G51" s="13">
        <f ca="1" t="shared" si="1"/>
        <v>35</v>
      </c>
      <c r="H51" s="20">
        <v>18451321015</v>
      </c>
      <c r="I51" s="21">
        <v>45152</v>
      </c>
      <c r="J51" s="21"/>
      <c r="K51" s="13" t="s">
        <v>108</v>
      </c>
      <c r="L51" s="13" t="s">
        <v>109</v>
      </c>
      <c r="M51" s="13" t="str">
        <f ca="1" t="shared" si="2"/>
        <v>2年7个月</v>
      </c>
      <c r="N51" s="13" t="s">
        <v>25</v>
      </c>
      <c r="O51" s="22"/>
      <c r="P51" s="29" t="s">
        <v>93</v>
      </c>
      <c r="Q51" s="23" t="s">
        <v>27</v>
      </c>
      <c r="R51" s="23" t="s">
        <v>28</v>
      </c>
      <c r="S51" s="23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</row>
    <row r="52" s="3" customFormat="1" customHeight="1" spans="1:255">
      <c r="A52" s="13">
        <v>50</v>
      </c>
      <c r="B52" s="13" t="s">
        <v>223</v>
      </c>
      <c r="C52" s="13" t="s">
        <v>224</v>
      </c>
      <c r="D52" s="105" t="s">
        <v>225</v>
      </c>
      <c r="E52" s="19">
        <v>19740429</v>
      </c>
      <c r="F52" s="13" t="s">
        <v>226</v>
      </c>
      <c r="G52" s="13">
        <f ca="1" t="shared" si="1"/>
        <v>52</v>
      </c>
      <c r="H52" s="20">
        <v>13151356185</v>
      </c>
      <c r="I52" s="21">
        <v>45226</v>
      </c>
      <c r="J52" s="21"/>
      <c r="K52" s="13"/>
      <c r="L52" s="13" t="s">
        <v>92</v>
      </c>
      <c r="M52" s="13" t="str">
        <f ca="1" t="shared" si="2"/>
        <v>2年5个月</v>
      </c>
      <c r="N52" s="13" t="s">
        <v>25</v>
      </c>
      <c r="O52" s="22"/>
      <c r="P52" s="29" t="s">
        <v>93</v>
      </c>
      <c r="Q52" s="23"/>
      <c r="R52" s="23"/>
      <c r="S52" s="23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</row>
    <row r="53" s="1" customFormat="1" ht="15.75" spans="1:255">
      <c r="A53" s="13">
        <v>51</v>
      </c>
      <c r="B53" s="13" t="s">
        <v>227</v>
      </c>
      <c r="C53" s="27" t="s">
        <v>228</v>
      </c>
      <c r="D53" s="106" t="s">
        <v>229</v>
      </c>
      <c r="E53" s="28">
        <v>19750227</v>
      </c>
      <c r="F53" s="13" t="s">
        <v>226</v>
      </c>
      <c r="G53" s="13">
        <f ca="1" t="shared" si="1"/>
        <v>51</v>
      </c>
      <c r="H53" s="20">
        <v>13912535827</v>
      </c>
      <c r="I53" s="21">
        <v>45261</v>
      </c>
      <c r="J53" s="21"/>
      <c r="K53" s="13" t="s">
        <v>70</v>
      </c>
      <c r="L53" s="13" t="s">
        <v>92</v>
      </c>
      <c r="M53" s="13" t="str">
        <f ca="1" t="shared" si="2"/>
        <v>2年4个月</v>
      </c>
      <c r="N53" s="22" t="s">
        <v>25</v>
      </c>
      <c r="O53" s="39"/>
      <c r="P53" s="39"/>
      <c r="Q53" s="13"/>
      <c r="R53" s="13" t="s">
        <v>52</v>
      </c>
      <c r="S53" s="13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</row>
    <row r="54" s="1" customFormat="1" ht="15.75" spans="1:255">
      <c r="A54" s="13">
        <v>52</v>
      </c>
      <c r="B54" s="13" t="s">
        <v>230</v>
      </c>
      <c r="C54" s="40" t="s">
        <v>231</v>
      </c>
      <c r="D54" s="105" t="s">
        <v>232</v>
      </c>
      <c r="E54" s="25">
        <v>26636</v>
      </c>
      <c r="F54" s="6" t="s">
        <v>233</v>
      </c>
      <c r="G54" s="13">
        <f ca="1" t="shared" si="1"/>
        <v>54</v>
      </c>
      <c r="H54" s="20">
        <v>18015406362</v>
      </c>
      <c r="I54" s="21">
        <v>45223</v>
      </c>
      <c r="J54" s="13"/>
      <c r="K54" s="13" t="s">
        <v>70</v>
      </c>
      <c r="L54" s="13" t="s">
        <v>92</v>
      </c>
      <c r="M54" s="13" t="str">
        <f ca="1" t="shared" si="2"/>
        <v>2年5个月</v>
      </c>
      <c r="N54" s="13" t="s">
        <v>25</v>
      </c>
      <c r="O54" s="22"/>
      <c r="P54" s="40"/>
      <c r="Q54" s="26"/>
      <c r="R54" s="13" t="s">
        <v>234</v>
      </c>
      <c r="S54" s="2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</row>
    <row r="55" s="1" customFormat="1" ht="15.75" spans="1:255">
      <c r="A55" s="13">
        <v>53</v>
      </c>
      <c r="B55" s="13" t="s">
        <v>235</v>
      </c>
      <c r="C55" s="27" t="s">
        <v>236</v>
      </c>
      <c r="D55" s="13" t="s">
        <v>237</v>
      </c>
      <c r="E55" s="41">
        <v>19911001</v>
      </c>
      <c r="F55" s="42" t="s">
        <v>233</v>
      </c>
      <c r="G55" s="13">
        <v>33</v>
      </c>
      <c r="H55" s="20">
        <v>15195521267</v>
      </c>
      <c r="I55" s="25">
        <v>45306</v>
      </c>
      <c r="J55" s="21"/>
      <c r="K55" s="13" t="s">
        <v>23</v>
      </c>
      <c r="L55" s="13" t="s">
        <v>66</v>
      </c>
      <c r="M55" s="42" t="str">
        <f ca="1" t="shared" si="2"/>
        <v>2年2个月</v>
      </c>
      <c r="N55" s="43" t="s">
        <v>25</v>
      </c>
      <c r="O55" s="22"/>
      <c r="P55" s="40" t="s">
        <v>238</v>
      </c>
      <c r="Q55" s="26" t="s">
        <v>80</v>
      </c>
      <c r="R55" s="13" t="s">
        <v>28</v>
      </c>
      <c r="S55" s="26" t="s">
        <v>239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</row>
    <row r="56" s="1" customFormat="1" ht="15.75" spans="1:255">
      <c r="A56" s="13">
        <v>54</v>
      </c>
      <c r="B56" s="42" t="s">
        <v>240</v>
      </c>
      <c r="C56" s="13" t="s">
        <v>241</v>
      </c>
      <c r="D56" s="105" t="s">
        <v>242</v>
      </c>
      <c r="E56" s="19">
        <v>19890427</v>
      </c>
      <c r="F56" s="13" t="s">
        <v>226</v>
      </c>
      <c r="G56" s="13">
        <v>35</v>
      </c>
      <c r="H56" s="20">
        <v>18962025807</v>
      </c>
      <c r="I56" s="25">
        <v>45306</v>
      </c>
      <c r="J56" s="21"/>
      <c r="K56" s="13" t="s">
        <v>70</v>
      </c>
      <c r="L56" s="13" t="s">
        <v>243</v>
      </c>
      <c r="M56" s="13" t="str">
        <f ca="1" t="shared" si="2"/>
        <v>2年2个月</v>
      </c>
      <c r="N56" s="43" t="s">
        <v>25</v>
      </c>
      <c r="O56" s="22"/>
      <c r="P56" s="40" t="s">
        <v>238</v>
      </c>
      <c r="Q56" s="13" t="s">
        <v>27</v>
      </c>
      <c r="R56" s="13"/>
      <c r="S56" s="13" t="s">
        <v>27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</row>
    <row r="57" s="6" customFormat="1" ht="15.75" spans="1:255">
      <c r="A57" s="13">
        <v>55</v>
      </c>
      <c r="B57" s="42" t="s">
        <v>244</v>
      </c>
      <c r="C57" s="13" t="s">
        <v>245</v>
      </c>
      <c r="D57" s="105" t="s">
        <v>246</v>
      </c>
      <c r="E57" s="19">
        <v>19911202</v>
      </c>
      <c r="F57" s="13" t="s">
        <v>226</v>
      </c>
      <c r="G57" s="13">
        <v>33</v>
      </c>
      <c r="H57" s="20">
        <v>13092114856</v>
      </c>
      <c r="I57" s="21">
        <v>45341</v>
      </c>
      <c r="J57" s="21"/>
      <c r="K57" s="13" t="s">
        <v>247</v>
      </c>
      <c r="L57" s="13" t="s">
        <v>247</v>
      </c>
      <c r="M57" s="42" t="str">
        <f ca="1" t="shared" si="2"/>
        <v>2年1个月</v>
      </c>
      <c r="N57" s="13" t="s">
        <v>25</v>
      </c>
      <c r="O57" s="22"/>
      <c r="P57" s="40" t="s">
        <v>238</v>
      </c>
      <c r="Q57" s="26" t="s">
        <v>239</v>
      </c>
      <c r="R57" s="23" t="s">
        <v>32</v>
      </c>
      <c r="S57" s="26" t="s">
        <v>239</v>
      </c>
    </row>
    <row r="58" s="1" customFormat="1" customHeight="1" spans="1:255">
      <c r="A58" s="13">
        <v>56</v>
      </c>
      <c r="B58" s="13" t="s">
        <v>248</v>
      </c>
      <c r="C58" s="42" t="s">
        <v>249</v>
      </c>
      <c r="D58" s="107" t="s">
        <v>250</v>
      </c>
      <c r="E58" s="44">
        <v>34993</v>
      </c>
      <c r="F58" s="42" t="s">
        <v>226</v>
      </c>
      <c r="G58" s="42">
        <v>29</v>
      </c>
      <c r="H58" s="42">
        <v>18936299038</v>
      </c>
      <c r="I58" s="44">
        <v>45352</v>
      </c>
      <c r="J58" s="45"/>
      <c r="K58" s="45" t="s">
        <v>56</v>
      </c>
      <c r="L58" s="42" t="s">
        <v>109</v>
      </c>
      <c r="M58" s="42" t="str">
        <f ca="1" t="shared" si="2"/>
        <v>2年1个月</v>
      </c>
      <c r="N58" s="42" t="s">
        <v>25</v>
      </c>
      <c r="O58" s="39"/>
      <c r="P58" s="40" t="s">
        <v>238</v>
      </c>
      <c r="Q58" s="23" t="s">
        <v>27</v>
      </c>
      <c r="R58" s="13" t="s">
        <v>32</v>
      </c>
      <c r="S58" s="23" t="s">
        <v>27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</row>
    <row r="59" s="3" customFormat="1" customHeight="1" spans="1:255">
      <c r="A59" s="13">
        <v>57</v>
      </c>
      <c r="B59" s="13" t="s">
        <v>251</v>
      </c>
      <c r="C59" s="13" t="s">
        <v>252</v>
      </c>
      <c r="D59" s="105" t="s">
        <v>253</v>
      </c>
      <c r="E59" s="25">
        <v>27864</v>
      </c>
      <c r="F59" s="13" t="s">
        <v>226</v>
      </c>
      <c r="G59" s="13">
        <v>48</v>
      </c>
      <c r="H59" s="20">
        <v>15905116006</v>
      </c>
      <c r="I59" s="21">
        <v>45356</v>
      </c>
      <c r="J59" s="21"/>
      <c r="K59" s="39" t="s">
        <v>70</v>
      </c>
      <c r="L59" s="13" t="s">
        <v>254</v>
      </c>
      <c r="M59" s="42" t="str">
        <f ca="1" t="shared" si="2"/>
        <v>2年1个月</v>
      </c>
      <c r="N59" s="13" t="s">
        <v>25</v>
      </c>
      <c r="O59" s="39"/>
      <c r="P59" s="40" t="s">
        <v>255</v>
      </c>
      <c r="Q59" s="23" t="s">
        <v>27</v>
      </c>
      <c r="R59" s="13" t="s">
        <v>52</v>
      </c>
      <c r="S59" s="23" t="s">
        <v>27</v>
      </c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</row>
    <row r="60" s="3" customFormat="1" customHeight="1" spans="1:255">
      <c r="A60" s="13">
        <v>58</v>
      </c>
      <c r="B60" s="13" t="s">
        <v>256</v>
      </c>
      <c r="C60" s="13" t="s">
        <v>257</v>
      </c>
      <c r="D60" s="105" t="s">
        <v>258</v>
      </c>
      <c r="E60" s="25">
        <v>32517</v>
      </c>
      <c r="F60" s="13" t="s">
        <v>226</v>
      </c>
      <c r="G60" s="13">
        <v>35</v>
      </c>
      <c r="H60" s="13">
        <v>18752230963</v>
      </c>
      <c r="I60" s="25">
        <v>45356</v>
      </c>
      <c r="J60" s="39"/>
      <c r="K60" s="39" t="s">
        <v>70</v>
      </c>
      <c r="L60" s="13" t="s">
        <v>109</v>
      </c>
      <c r="M60" s="13" t="str">
        <f ca="1" t="shared" si="2"/>
        <v>2年1个月</v>
      </c>
      <c r="N60" s="13" t="s">
        <v>25</v>
      </c>
      <c r="O60" s="13"/>
      <c r="P60" s="40" t="s">
        <v>255</v>
      </c>
      <c r="Q60" s="13"/>
      <c r="R60" s="13" t="s">
        <v>52</v>
      </c>
      <c r="S60" s="13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/>
      <c r="IP60" s="24"/>
      <c r="IQ60" s="24"/>
      <c r="IR60" s="24"/>
      <c r="IS60" s="24"/>
      <c r="IT60" s="24"/>
      <c r="IU60" s="24"/>
    </row>
    <row r="61" s="1" customFormat="1" customHeight="1" spans="1:255">
      <c r="A61" s="13">
        <v>59</v>
      </c>
      <c r="B61" s="13" t="s">
        <v>259</v>
      </c>
      <c r="C61" s="13" t="s">
        <v>260</v>
      </c>
      <c r="D61" s="105" t="s">
        <v>261</v>
      </c>
      <c r="E61" s="25">
        <v>29851</v>
      </c>
      <c r="F61" s="13" t="s">
        <v>233</v>
      </c>
      <c r="G61" s="13">
        <v>43</v>
      </c>
      <c r="H61" s="13">
        <v>13818878153</v>
      </c>
      <c r="I61" s="25">
        <v>45390</v>
      </c>
      <c r="J61" s="39"/>
      <c r="K61" s="39" t="s">
        <v>23</v>
      </c>
      <c r="L61" s="13" t="s">
        <v>262</v>
      </c>
      <c r="M61" s="13" t="str">
        <f ca="1" t="shared" si="2"/>
        <v>2年0个月</v>
      </c>
      <c r="N61" s="13" t="s">
        <v>25</v>
      </c>
      <c r="O61" s="13"/>
      <c r="P61" s="40" t="s">
        <v>238</v>
      </c>
      <c r="Q61" s="23" t="s">
        <v>27</v>
      </c>
      <c r="R61" s="13"/>
      <c r="S61" s="23" t="s">
        <v>27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</row>
    <row r="62" s="1" customFormat="1" customHeight="1" spans="1:255">
      <c r="A62" s="13">
        <v>60</v>
      </c>
      <c r="B62" s="13" t="s">
        <v>263</v>
      </c>
      <c r="C62" s="10" t="s">
        <v>264</v>
      </c>
      <c r="D62" s="108" t="s">
        <v>265</v>
      </c>
      <c r="E62" s="46">
        <v>31823</v>
      </c>
      <c r="F62" s="10" t="s">
        <v>226</v>
      </c>
      <c r="G62" s="10">
        <v>38</v>
      </c>
      <c r="H62" s="10">
        <v>13681794671</v>
      </c>
      <c r="I62" s="46">
        <v>45462</v>
      </c>
      <c r="J62" s="10"/>
      <c r="K62" s="47" t="s">
        <v>23</v>
      </c>
      <c r="L62" s="48" t="s">
        <v>266</v>
      </c>
      <c r="M62" s="13" t="str">
        <f ca="1" t="shared" si="2"/>
        <v>1年9个月</v>
      </c>
      <c r="N62" s="13" t="s">
        <v>25</v>
      </c>
      <c r="O62" s="22"/>
      <c r="P62" s="13" t="s">
        <v>238</v>
      </c>
      <c r="Q62" s="13"/>
      <c r="R62" s="13" t="s">
        <v>52</v>
      </c>
      <c r="S62" s="49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</row>
    <row r="63" customFormat="1" customHeight="1" spans="1:255">
      <c r="A63" s="13">
        <v>61</v>
      </c>
      <c r="B63" s="13" t="s">
        <v>267</v>
      </c>
      <c r="C63" s="13" t="s">
        <v>268</v>
      </c>
      <c r="D63" s="105" t="s">
        <v>269</v>
      </c>
      <c r="E63" s="25">
        <v>31892</v>
      </c>
      <c r="F63" s="13" t="s">
        <v>226</v>
      </c>
      <c r="G63" s="13">
        <v>38</v>
      </c>
      <c r="H63" s="105" t="s">
        <v>270</v>
      </c>
      <c r="I63" s="25">
        <v>45520</v>
      </c>
      <c r="J63" s="36"/>
      <c r="K63" s="10" t="s">
        <v>70</v>
      </c>
      <c r="L63" s="13"/>
      <c r="M63" s="13" t="str">
        <f ca="1" t="shared" si="2"/>
        <v>1年7个月</v>
      </c>
      <c r="N63" s="13" t="s">
        <v>25</v>
      </c>
      <c r="O63" s="22"/>
      <c r="P63" s="50"/>
      <c r="Q63" s="50"/>
      <c r="R63" s="10" t="s">
        <v>52</v>
      </c>
      <c r="S63" s="51"/>
    </row>
    <row r="64" customFormat="1" customHeight="1" spans="1:255">
      <c r="A64" s="13">
        <v>62</v>
      </c>
      <c r="B64" s="13" t="s">
        <v>271</v>
      </c>
      <c r="C64" s="13" t="s">
        <v>272</v>
      </c>
      <c r="D64" s="105" t="s">
        <v>273</v>
      </c>
      <c r="E64" s="25">
        <v>35415</v>
      </c>
      <c r="F64" s="13" t="s">
        <v>226</v>
      </c>
      <c r="G64" s="13">
        <v>29</v>
      </c>
      <c r="H64" s="13">
        <v>15161997118</v>
      </c>
      <c r="I64" s="25">
        <v>45523</v>
      </c>
      <c r="J64" s="36"/>
      <c r="K64" s="10" t="s">
        <v>56</v>
      </c>
      <c r="L64" s="10" t="s">
        <v>274</v>
      </c>
      <c r="M64" s="13" t="str">
        <f ca="1" t="shared" si="2"/>
        <v>1年7个月</v>
      </c>
      <c r="N64" s="13" t="s">
        <v>25</v>
      </c>
      <c r="O64" s="22"/>
      <c r="P64" s="50"/>
      <c r="Q64" s="50"/>
      <c r="R64" s="10" t="s">
        <v>36</v>
      </c>
      <c r="S64" s="51"/>
    </row>
    <row r="65" s="1" customFormat="1" customHeight="1" spans="1:255">
      <c r="A65" s="13">
        <v>63</v>
      </c>
      <c r="B65" s="13" t="s">
        <v>275</v>
      </c>
      <c r="C65" s="13" t="s">
        <v>276</v>
      </c>
      <c r="D65" s="105" t="s">
        <v>277</v>
      </c>
      <c r="E65" s="25">
        <v>23324</v>
      </c>
      <c r="F65" s="13" t="s">
        <v>233</v>
      </c>
      <c r="G65" s="13">
        <v>61</v>
      </c>
      <c r="H65" s="13">
        <v>15161908700</v>
      </c>
      <c r="I65" s="25">
        <v>45524</v>
      </c>
      <c r="J65" s="36"/>
      <c r="K65" s="13" t="s">
        <v>44</v>
      </c>
      <c r="L65" s="13" t="s">
        <v>278</v>
      </c>
      <c r="M65" s="13" t="str">
        <f ca="1" t="shared" si="2"/>
        <v>1年7个月</v>
      </c>
      <c r="N65" s="13" t="s">
        <v>25</v>
      </c>
      <c r="O65" s="22"/>
      <c r="P65" s="50"/>
      <c r="Q65" s="50"/>
      <c r="R65" s="10" t="s">
        <v>234</v>
      </c>
      <c r="S65" s="51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</row>
    <row r="66" s="1" customFormat="1" customHeight="1" spans="1:255">
      <c r="A66" s="13">
        <v>64</v>
      </c>
      <c r="B66" s="13" t="s">
        <v>279</v>
      </c>
      <c r="C66" s="13" t="s">
        <v>280</v>
      </c>
      <c r="D66" s="105" t="s">
        <v>281</v>
      </c>
      <c r="E66" s="25">
        <v>23344</v>
      </c>
      <c r="F66" s="13" t="s">
        <v>226</v>
      </c>
      <c r="G66" s="13">
        <v>61</v>
      </c>
      <c r="H66" s="13">
        <v>18912539335</v>
      </c>
      <c r="I66" s="25">
        <v>45524</v>
      </c>
      <c r="J66" s="36"/>
      <c r="K66" s="13" t="s">
        <v>44</v>
      </c>
      <c r="L66" s="13" t="s">
        <v>278</v>
      </c>
      <c r="M66" s="13" t="str">
        <f ca="1" t="shared" si="2"/>
        <v>1年7个月</v>
      </c>
      <c r="N66" s="13" t="s">
        <v>25</v>
      </c>
      <c r="O66" s="22"/>
      <c r="P66" s="50"/>
      <c r="Q66" s="50"/>
      <c r="R66" s="10" t="s">
        <v>234</v>
      </c>
      <c r="S66" s="51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</row>
    <row r="67" s="1" customFormat="1" customHeight="1" spans="1:255">
      <c r="A67" s="13">
        <v>65</v>
      </c>
      <c r="B67" s="13" t="s">
        <v>282</v>
      </c>
      <c r="C67" s="13" t="s">
        <v>283</v>
      </c>
      <c r="D67" s="109" t="s">
        <v>284</v>
      </c>
      <c r="E67" s="25">
        <v>32866</v>
      </c>
      <c r="F67" s="13" t="s">
        <v>226</v>
      </c>
      <c r="G67" s="13">
        <v>36</v>
      </c>
      <c r="H67" s="13">
        <v>15251068602</v>
      </c>
      <c r="I67" s="25">
        <v>45530</v>
      </c>
      <c r="J67" s="52"/>
      <c r="K67" s="10" t="s">
        <v>70</v>
      </c>
      <c r="L67" s="10" t="s">
        <v>285</v>
      </c>
      <c r="M67" s="13" t="str">
        <f ca="1" t="shared" ref="M67:M79" si="3">DATEDIF(I67,TODAY(),"Y")&amp;"年"&amp;DATEDIF(I67,TODAY(),"YM")&amp;"个月"</f>
        <v>1年7个月</v>
      </c>
      <c r="N67" s="13" t="s">
        <v>25</v>
      </c>
      <c r="O67" s="53"/>
      <c r="P67" s="10" t="s">
        <v>255</v>
      </c>
      <c r="Q67" s="50"/>
      <c r="R67" s="10"/>
      <c r="S67" s="51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</row>
    <row r="68" s="4" customFormat="1" customHeight="1" spans="1:255">
      <c r="A68" s="13">
        <v>66</v>
      </c>
      <c r="B68" s="54" t="s">
        <v>286</v>
      </c>
      <c r="C68" s="8" t="s">
        <v>287</v>
      </c>
      <c r="D68" s="110" t="s">
        <v>288</v>
      </c>
      <c r="E68" s="55">
        <v>28050</v>
      </c>
      <c r="F68" s="56" t="s">
        <v>233</v>
      </c>
      <c r="G68" s="56">
        <v>48</v>
      </c>
      <c r="H68" s="56">
        <v>17849111825</v>
      </c>
      <c r="I68" s="57">
        <v>45545</v>
      </c>
      <c r="J68" s="58"/>
      <c r="K68" s="56" t="s">
        <v>70</v>
      </c>
      <c r="L68" s="56" t="s">
        <v>289</v>
      </c>
      <c r="M68" s="27" t="str">
        <f ca="1" t="shared" si="3"/>
        <v>1年7个月</v>
      </c>
      <c r="N68" s="13" t="s">
        <v>25</v>
      </c>
      <c r="O68" s="59"/>
      <c r="P68" s="27"/>
      <c r="Q68" s="59"/>
      <c r="R68" s="27" t="s">
        <v>234</v>
      </c>
      <c r="S68" s="60"/>
    </row>
    <row r="69" s="1" customFormat="1" customHeight="1" spans="1:255">
      <c r="A69" s="13">
        <v>67</v>
      </c>
      <c r="B69" s="13" t="s">
        <v>290</v>
      </c>
      <c r="C69" s="10" t="s">
        <v>291</v>
      </c>
      <c r="D69" s="108" t="s">
        <v>292</v>
      </c>
      <c r="E69" s="46">
        <v>29497</v>
      </c>
      <c r="F69" s="10" t="s">
        <v>233</v>
      </c>
      <c r="G69" s="10">
        <v>44</v>
      </c>
      <c r="H69" s="10">
        <v>18651228406</v>
      </c>
      <c r="I69" s="46">
        <v>45560</v>
      </c>
      <c r="J69" s="10"/>
      <c r="K69" s="13" t="s">
        <v>70</v>
      </c>
      <c r="L69" s="10" t="s">
        <v>293</v>
      </c>
      <c r="M69" s="13" t="str">
        <f ca="1" t="shared" si="3"/>
        <v>1年6个月</v>
      </c>
      <c r="N69" s="13" t="s">
        <v>25</v>
      </c>
      <c r="O69" s="22"/>
      <c r="P69" s="10" t="s">
        <v>238</v>
      </c>
      <c r="Q69" s="50"/>
      <c r="R69" s="10"/>
      <c r="S69" s="50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</row>
    <row r="70" s="4" customFormat="1" customHeight="1" spans="1:255">
      <c r="A70" s="13">
        <v>68</v>
      </c>
      <c r="B70" s="61" t="s">
        <v>294</v>
      </c>
      <c r="C70" s="61" t="s">
        <v>295</v>
      </c>
      <c r="D70" s="111" t="s">
        <v>296</v>
      </c>
      <c r="E70" s="62">
        <v>35253</v>
      </c>
      <c r="F70" s="61" t="s">
        <v>233</v>
      </c>
      <c r="G70" s="61">
        <v>29</v>
      </c>
      <c r="H70" s="61">
        <v>17561932860</v>
      </c>
      <c r="I70" s="62">
        <v>45569</v>
      </c>
      <c r="J70" s="61"/>
      <c r="K70" s="61" t="s">
        <v>23</v>
      </c>
      <c r="L70" s="61" t="s">
        <v>66</v>
      </c>
      <c r="M70" s="27" t="str">
        <f ca="1" t="shared" si="3"/>
        <v>1年6个月</v>
      </c>
      <c r="N70" s="13" t="s">
        <v>25</v>
      </c>
      <c r="O70" s="27"/>
      <c r="P70" s="27" t="s">
        <v>255</v>
      </c>
      <c r="Q70" s="59"/>
      <c r="R70" s="27" t="s">
        <v>28</v>
      </c>
      <c r="S70" s="59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</row>
    <row r="71" customFormat="1" customHeight="1" spans="1:255">
      <c r="A71" s="13">
        <v>69</v>
      </c>
      <c r="B71" s="42" t="s">
        <v>297</v>
      </c>
      <c r="C71" s="10" t="s">
        <v>298</v>
      </c>
      <c r="D71" s="108" t="s">
        <v>299</v>
      </c>
      <c r="E71" s="46">
        <v>33874</v>
      </c>
      <c r="F71" s="10" t="s">
        <v>233</v>
      </c>
      <c r="G71" s="10">
        <v>32</v>
      </c>
      <c r="H71" s="10">
        <v>18651539435</v>
      </c>
      <c r="I71" s="46">
        <v>45586</v>
      </c>
      <c r="J71" s="50"/>
      <c r="K71" s="13" t="s">
        <v>70</v>
      </c>
      <c r="L71" s="10" t="s">
        <v>300</v>
      </c>
      <c r="M71" s="13" t="str">
        <f ca="1" t="shared" si="3"/>
        <v>1年5个月</v>
      </c>
      <c r="N71" s="13" t="s">
        <v>25</v>
      </c>
      <c r="O71" s="63"/>
      <c r="P71" s="64" t="s">
        <v>255</v>
      </c>
      <c r="Q71" s="50"/>
      <c r="R71" s="10" t="s">
        <v>52</v>
      </c>
      <c r="S71" s="50"/>
    </row>
    <row r="72" customFormat="1" customHeight="1" spans="1:255">
      <c r="A72" s="13">
        <v>70</v>
      </c>
      <c r="B72" s="42" t="s">
        <v>301</v>
      </c>
      <c r="C72" s="64" t="s">
        <v>302</v>
      </c>
      <c r="D72" s="112" t="s">
        <v>303</v>
      </c>
      <c r="E72" s="65">
        <v>32941</v>
      </c>
      <c r="F72" s="64" t="s">
        <v>226</v>
      </c>
      <c r="G72" s="64">
        <v>35</v>
      </c>
      <c r="H72" s="64">
        <v>15371243068</v>
      </c>
      <c r="I72" s="65">
        <v>45636</v>
      </c>
      <c r="J72" s="64"/>
      <c r="K72" s="64" t="s">
        <v>70</v>
      </c>
      <c r="L72" s="64" t="s">
        <v>109</v>
      </c>
      <c r="M72" s="42" t="str">
        <f ca="1" t="shared" si="3"/>
        <v>1年4个月</v>
      </c>
      <c r="N72" s="13" t="s">
        <v>25</v>
      </c>
      <c r="O72" s="63"/>
      <c r="P72" s="64" t="s">
        <v>255</v>
      </c>
      <c r="Q72" s="63"/>
      <c r="R72" s="64" t="s">
        <v>304</v>
      </c>
      <c r="S72" s="66"/>
    </row>
    <row r="73" s="7" customFormat="1" customHeight="1" spans="1:255">
      <c r="A73" s="13">
        <v>71</v>
      </c>
      <c r="B73" s="13" t="s">
        <v>305</v>
      </c>
      <c r="C73" s="10" t="s">
        <v>306</v>
      </c>
      <c r="D73" s="108" t="s">
        <v>307</v>
      </c>
      <c r="E73" s="46">
        <v>33745</v>
      </c>
      <c r="F73" s="10" t="s">
        <v>233</v>
      </c>
      <c r="G73" s="10">
        <v>33</v>
      </c>
      <c r="H73" s="10">
        <v>17895023861</v>
      </c>
      <c r="I73" s="46">
        <v>45666</v>
      </c>
      <c r="J73" s="50"/>
      <c r="K73" s="50" t="s">
        <v>70</v>
      </c>
      <c r="L73" s="10" t="s">
        <v>308</v>
      </c>
      <c r="M73" s="13" t="str">
        <f ca="1" t="shared" si="3"/>
        <v>1年3个月</v>
      </c>
      <c r="N73" s="13" t="s">
        <v>25</v>
      </c>
      <c r="O73" s="50"/>
      <c r="P73" s="10" t="s">
        <v>255</v>
      </c>
      <c r="Q73" s="50"/>
      <c r="R73" s="10" t="s">
        <v>304</v>
      </c>
      <c r="S73" s="50"/>
    </row>
    <row r="74" s="7" customFormat="1" customHeight="1" spans="1:255">
      <c r="A74" s="13">
        <v>72</v>
      </c>
      <c r="B74" s="13" t="s">
        <v>309</v>
      </c>
      <c r="C74" s="10" t="s">
        <v>310</v>
      </c>
      <c r="D74" s="108" t="s">
        <v>311</v>
      </c>
      <c r="E74" s="46">
        <v>33201</v>
      </c>
      <c r="F74" s="10" t="s">
        <v>233</v>
      </c>
      <c r="G74" s="10">
        <v>36</v>
      </c>
      <c r="H74" s="10">
        <v>18036299528</v>
      </c>
      <c r="I74" s="46">
        <v>45694</v>
      </c>
      <c r="J74" s="10"/>
      <c r="K74" s="10" t="s">
        <v>70</v>
      </c>
      <c r="L74" s="10" t="s">
        <v>312</v>
      </c>
      <c r="M74" s="13" t="str">
        <f ca="1" t="shared" si="3"/>
        <v>1年2个月</v>
      </c>
      <c r="N74" s="13" t="s">
        <v>25</v>
      </c>
      <c r="O74" s="50"/>
      <c r="P74" s="10" t="s">
        <v>255</v>
      </c>
      <c r="Q74" s="50"/>
      <c r="R74" s="10" t="s">
        <v>304</v>
      </c>
      <c r="S74" s="50"/>
    </row>
    <row r="75" s="7" customFormat="1" customHeight="1" spans="1:255">
      <c r="A75" s="13">
        <v>73</v>
      </c>
      <c r="B75" s="13" t="s">
        <v>313</v>
      </c>
      <c r="C75" s="10" t="s">
        <v>314</v>
      </c>
      <c r="D75" s="108" t="s">
        <v>315</v>
      </c>
      <c r="E75" s="46">
        <v>33551</v>
      </c>
      <c r="F75" s="10" t="s">
        <v>226</v>
      </c>
      <c r="G75" s="10">
        <v>34</v>
      </c>
      <c r="H75" s="10">
        <v>13816502120</v>
      </c>
      <c r="I75" s="46">
        <v>45694</v>
      </c>
      <c r="J75" s="13"/>
      <c r="K75" s="13" t="s">
        <v>70</v>
      </c>
      <c r="L75" s="13" t="s">
        <v>300</v>
      </c>
      <c r="M75" s="13" t="str">
        <f ca="1" t="shared" si="3"/>
        <v>1年2个月</v>
      </c>
      <c r="N75" s="13" t="s">
        <v>25</v>
      </c>
      <c r="O75" s="50"/>
      <c r="P75" s="10" t="s">
        <v>255</v>
      </c>
      <c r="Q75" s="50"/>
      <c r="R75" s="10" t="s">
        <v>304</v>
      </c>
      <c r="S75" s="50"/>
    </row>
    <row r="76" customFormat="1" customHeight="1" spans="1:255">
      <c r="A76" s="13">
        <v>74</v>
      </c>
      <c r="B76" s="67" t="s">
        <v>316</v>
      </c>
      <c r="C76" s="68" t="s">
        <v>317</v>
      </c>
      <c r="D76" s="113" t="s">
        <v>318</v>
      </c>
      <c r="E76" s="69">
        <v>26922</v>
      </c>
      <c r="F76" s="68" t="s">
        <v>226</v>
      </c>
      <c r="G76" s="68">
        <v>52</v>
      </c>
      <c r="H76" s="68">
        <v>15793739202</v>
      </c>
      <c r="I76" s="69">
        <v>45698</v>
      </c>
      <c r="J76" s="70"/>
      <c r="K76" s="71" t="s">
        <v>44</v>
      </c>
      <c r="L76" s="70" t="s">
        <v>319</v>
      </c>
      <c r="M76" s="70" t="str">
        <f ca="1" t="shared" si="3"/>
        <v>1年2个月</v>
      </c>
      <c r="N76" s="13" t="s">
        <v>25</v>
      </c>
      <c r="O76" s="47"/>
      <c r="P76" s="48"/>
      <c r="Q76" s="47"/>
      <c r="R76" s="72"/>
      <c r="S76" s="47"/>
    </row>
    <row r="77" s="8" customFormat="1" customHeight="1" spans="1:255">
      <c r="A77" s="13">
        <v>75</v>
      </c>
      <c r="B77" s="73" t="s">
        <v>320</v>
      </c>
      <c r="C77" s="74" t="s">
        <v>321</v>
      </c>
      <c r="D77" s="114" t="s">
        <v>322</v>
      </c>
      <c r="E77" s="75">
        <v>33043</v>
      </c>
      <c r="F77" s="74" t="s">
        <v>233</v>
      </c>
      <c r="G77" s="74">
        <v>36</v>
      </c>
      <c r="H77" s="76">
        <v>15051321230</v>
      </c>
      <c r="I77" s="55">
        <v>45715</v>
      </c>
      <c r="J77" s="77"/>
      <c r="K77" s="78" t="s">
        <v>44</v>
      </c>
      <c r="L77" s="73" t="s">
        <v>323</v>
      </c>
      <c r="M77" s="27" t="str">
        <f ca="1" t="shared" si="3"/>
        <v>1年1个月</v>
      </c>
      <c r="N77" s="13" t="s">
        <v>25</v>
      </c>
      <c r="O77" s="74"/>
      <c r="P77" s="27" t="s">
        <v>255</v>
      </c>
      <c r="Q77" s="27"/>
      <c r="R77" s="32" t="s">
        <v>28</v>
      </c>
      <c r="S77" s="27"/>
    </row>
    <row r="78" customFormat="1" customHeight="1" spans="1:255">
      <c r="A78" s="13">
        <v>76</v>
      </c>
      <c r="B78" s="42" t="s">
        <v>324</v>
      </c>
      <c r="C78" s="64" t="s">
        <v>325</v>
      </c>
      <c r="D78" s="112" t="s">
        <v>326</v>
      </c>
      <c r="E78" s="65">
        <v>32817</v>
      </c>
      <c r="F78" s="64" t="s">
        <v>226</v>
      </c>
      <c r="G78" s="64">
        <v>37</v>
      </c>
      <c r="H78" s="64">
        <v>18052933016</v>
      </c>
      <c r="I78" s="65">
        <v>45749</v>
      </c>
      <c r="J78" s="64"/>
      <c r="K78" s="64" t="s">
        <v>70</v>
      </c>
      <c r="L78" s="64" t="s">
        <v>109</v>
      </c>
      <c r="M78" s="42" t="str">
        <f ca="1" t="shared" si="3"/>
        <v>1年0个月</v>
      </c>
      <c r="N78" s="13" t="s">
        <v>25</v>
      </c>
      <c r="O78" s="63"/>
      <c r="P78" s="10" t="s">
        <v>255</v>
      </c>
      <c r="Q78" s="50"/>
      <c r="R78" s="79" t="s">
        <v>304</v>
      </c>
      <c r="S78" s="50"/>
    </row>
    <row r="79" customFormat="1" customHeight="1" spans="1:255">
      <c r="A79" s="13">
        <v>77</v>
      </c>
      <c r="B79" s="80" t="s">
        <v>327</v>
      </c>
      <c r="C79" s="81" t="s">
        <v>328</v>
      </c>
      <c r="D79" s="108" t="s">
        <v>329</v>
      </c>
      <c r="E79" s="46">
        <v>31144</v>
      </c>
      <c r="F79" s="10" t="s">
        <v>233</v>
      </c>
      <c r="G79" s="10">
        <v>41</v>
      </c>
      <c r="H79" s="10">
        <v>18133170661</v>
      </c>
      <c r="I79" s="46">
        <v>45806</v>
      </c>
      <c r="J79" s="10"/>
      <c r="K79" s="10" t="s">
        <v>70</v>
      </c>
      <c r="L79" s="10" t="s">
        <v>330</v>
      </c>
      <c r="M79" s="80" t="str">
        <f ca="1" t="shared" si="3"/>
        <v>0年10个月</v>
      </c>
      <c r="N79" s="13" t="s">
        <v>25</v>
      </c>
      <c r="O79" s="50"/>
      <c r="P79" s="10" t="s">
        <v>255</v>
      </c>
      <c r="Q79" s="50" t="s">
        <v>27</v>
      </c>
      <c r="R79" s="79" t="s">
        <v>28</v>
      </c>
      <c r="S79" s="50"/>
    </row>
    <row r="80" customFormat="1" customHeight="1" spans="1:255">
      <c r="A80" s="13">
        <v>78</v>
      </c>
      <c r="B80" s="82" t="s">
        <v>331</v>
      </c>
      <c r="C80" s="64" t="s">
        <v>332</v>
      </c>
      <c r="D80" s="108" t="s">
        <v>333</v>
      </c>
      <c r="E80" s="46">
        <v>33165</v>
      </c>
      <c r="F80" s="10" t="s">
        <v>233</v>
      </c>
      <c r="G80" s="10">
        <v>36</v>
      </c>
      <c r="H80" s="10">
        <v>18916928705</v>
      </c>
      <c r="I80" s="46">
        <v>45817</v>
      </c>
      <c r="J80" s="10"/>
      <c r="K80" s="10" t="s">
        <v>70</v>
      </c>
      <c r="L80" s="10" t="s">
        <v>334</v>
      </c>
      <c r="M80" s="13" t="s">
        <v>335</v>
      </c>
      <c r="N80" s="13" t="s">
        <v>25</v>
      </c>
      <c r="O80" s="50"/>
      <c r="P80" s="10" t="s">
        <v>255</v>
      </c>
      <c r="Q80" s="50"/>
      <c r="R80" s="79" t="s">
        <v>32</v>
      </c>
      <c r="S80" s="50"/>
    </row>
    <row r="81" customFormat="1" customHeight="1" spans="1:72">
      <c r="A81" s="13">
        <v>79</v>
      </c>
      <c r="B81" s="82" t="s">
        <v>336</v>
      </c>
      <c r="C81" s="64" t="s">
        <v>337</v>
      </c>
      <c r="D81" s="112" t="s">
        <v>338</v>
      </c>
      <c r="E81" s="65">
        <v>30425</v>
      </c>
      <c r="F81" s="64" t="s">
        <v>233</v>
      </c>
      <c r="G81" s="64">
        <v>42</v>
      </c>
      <c r="H81" s="64">
        <v>15251151266</v>
      </c>
      <c r="I81" s="65">
        <v>45861</v>
      </c>
      <c r="J81" s="64"/>
      <c r="K81" s="64" t="s">
        <v>70</v>
      </c>
      <c r="L81" s="64" t="s">
        <v>92</v>
      </c>
      <c r="M81" s="42" t="str">
        <f ca="1" t="shared" ref="M81:M95" si="4">DATEDIF(I81,TODAY(),"Y")&amp;"年"&amp;DATEDIF(I81,TODAY(),"YM")&amp;"个月"</f>
        <v>0年8个月</v>
      </c>
      <c r="N81" s="13" t="s">
        <v>25</v>
      </c>
      <c r="O81" s="50"/>
      <c r="P81" s="50" t="s">
        <v>255</v>
      </c>
      <c r="Q81" s="83"/>
      <c r="R81" s="84" t="s">
        <v>28</v>
      </c>
      <c r="S81" s="50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</row>
    <row r="82" customFormat="1" customHeight="1" spans="1:72">
      <c r="A82" s="13">
        <v>80</v>
      </c>
      <c r="B82" s="13" t="s">
        <v>339</v>
      </c>
      <c r="C82" s="10" t="s">
        <v>340</v>
      </c>
      <c r="D82" s="108" t="s">
        <v>341</v>
      </c>
      <c r="E82" s="46">
        <v>25195</v>
      </c>
      <c r="F82" s="10" t="s">
        <v>233</v>
      </c>
      <c r="G82" s="10">
        <v>57</v>
      </c>
      <c r="H82" s="10">
        <v>16583693127</v>
      </c>
      <c r="I82" s="46">
        <v>45863</v>
      </c>
      <c r="J82" s="10"/>
      <c r="K82" s="10" t="s">
        <v>70</v>
      </c>
      <c r="L82" s="10" t="s">
        <v>156</v>
      </c>
      <c r="M82" s="13" t="str">
        <f ca="1" t="shared" si="4"/>
        <v>0年8个月</v>
      </c>
      <c r="N82" s="13" t="s">
        <v>25</v>
      </c>
      <c r="O82" s="50"/>
      <c r="P82" s="50"/>
      <c r="Q82" s="50"/>
      <c r="R82" s="79"/>
      <c r="S82" s="50"/>
    </row>
    <row r="83" customFormat="1" customHeight="1" spans="1:72">
      <c r="A83" s="13">
        <v>81</v>
      </c>
      <c r="B83" s="13" t="s">
        <v>342</v>
      </c>
      <c r="C83" s="10" t="s">
        <v>343</v>
      </c>
      <c r="D83" s="108" t="s">
        <v>344</v>
      </c>
      <c r="E83" s="46">
        <v>32128</v>
      </c>
      <c r="F83" s="10" t="s">
        <v>226</v>
      </c>
      <c r="G83" s="10">
        <v>38</v>
      </c>
      <c r="H83" s="10">
        <v>13236295669</v>
      </c>
      <c r="I83" s="46">
        <v>45879</v>
      </c>
      <c r="J83" s="10"/>
      <c r="K83" s="10" t="s">
        <v>70</v>
      </c>
      <c r="L83" s="10" t="s">
        <v>243</v>
      </c>
      <c r="M83" s="13" t="str">
        <f ca="1" t="shared" si="4"/>
        <v>0年8个月</v>
      </c>
      <c r="N83" s="13" t="s">
        <v>25</v>
      </c>
      <c r="O83" s="50"/>
      <c r="P83" s="50"/>
      <c r="Q83" s="50"/>
      <c r="R83" s="85"/>
      <c r="S83" s="50"/>
    </row>
    <row r="84" customFormat="1" customHeight="1" spans="1:72">
      <c r="A84" s="13">
        <v>82</v>
      </c>
      <c r="B84" s="13" t="s">
        <v>345</v>
      </c>
      <c r="C84" s="10" t="s">
        <v>346</v>
      </c>
      <c r="D84" s="108" t="s">
        <v>347</v>
      </c>
      <c r="E84" s="46">
        <v>27799</v>
      </c>
      <c r="F84" s="10" t="s">
        <v>226</v>
      </c>
      <c r="G84" s="10">
        <v>49</v>
      </c>
      <c r="H84" s="10">
        <v>18921800942</v>
      </c>
      <c r="I84" s="46">
        <v>45887</v>
      </c>
      <c r="J84" s="10"/>
      <c r="K84" s="10" t="s">
        <v>194</v>
      </c>
      <c r="L84" s="10" t="s">
        <v>109</v>
      </c>
      <c r="M84" s="13" t="str">
        <f ca="1" t="shared" si="4"/>
        <v>0年7个月</v>
      </c>
      <c r="N84" s="13" t="s">
        <v>25</v>
      </c>
      <c r="O84" s="50"/>
      <c r="P84" s="50"/>
      <c r="Q84" s="50"/>
      <c r="R84" s="85"/>
      <c r="S84" s="50"/>
    </row>
    <row r="85" customFormat="1" customHeight="1" spans="1:72">
      <c r="A85" s="13">
        <v>83</v>
      </c>
      <c r="B85" s="13" t="s">
        <v>348</v>
      </c>
      <c r="C85" s="10" t="s">
        <v>349</v>
      </c>
      <c r="D85" s="108" t="s">
        <v>350</v>
      </c>
      <c r="E85" s="46">
        <v>30922</v>
      </c>
      <c r="F85" s="10" t="s">
        <v>226</v>
      </c>
      <c r="G85" s="10">
        <v>41</v>
      </c>
      <c r="H85" s="10">
        <v>15151064580</v>
      </c>
      <c r="I85" s="46">
        <v>45894</v>
      </c>
      <c r="J85" s="10"/>
      <c r="K85" s="10" t="s">
        <v>70</v>
      </c>
      <c r="L85" s="10" t="s">
        <v>243</v>
      </c>
      <c r="M85" s="13" t="str">
        <f ca="1" t="shared" si="4"/>
        <v>0年7个月</v>
      </c>
      <c r="N85" s="13" t="s">
        <v>25</v>
      </c>
      <c r="O85" s="50"/>
      <c r="P85" s="50"/>
      <c r="Q85" s="50"/>
      <c r="R85" s="85"/>
      <c r="S85" s="50"/>
    </row>
    <row r="86" customFormat="1" customHeight="1" spans="1:72">
      <c r="A86" s="13">
        <v>84</v>
      </c>
      <c r="B86" s="13" t="s">
        <v>351</v>
      </c>
      <c r="C86" s="10" t="s">
        <v>352</v>
      </c>
      <c r="D86" s="108" t="s">
        <v>353</v>
      </c>
      <c r="E86" s="46">
        <v>27808</v>
      </c>
      <c r="F86" s="10" t="s">
        <v>226</v>
      </c>
      <c r="G86" s="10">
        <v>49</v>
      </c>
      <c r="H86" s="10">
        <v>15251157728</v>
      </c>
      <c r="I86" s="46">
        <v>45889</v>
      </c>
      <c r="J86" s="10"/>
      <c r="K86" s="10" t="s">
        <v>70</v>
      </c>
      <c r="L86" s="10" t="s">
        <v>92</v>
      </c>
      <c r="M86" s="13" t="str">
        <f ca="1" t="shared" si="4"/>
        <v>0年7个月</v>
      </c>
      <c r="N86" s="13" t="s">
        <v>25</v>
      </c>
      <c r="O86" s="50"/>
      <c r="S86" s="50"/>
    </row>
    <row r="87" s="9" customFormat="1" customHeight="1" spans="1:72">
      <c r="A87" s="13">
        <v>86</v>
      </c>
      <c r="B87" s="40" t="s">
        <v>354</v>
      </c>
      <c r="C87" s="86" t="s">
        <v>355</v>
      </c>
      <c r="D87" s="115" t="s">
        <v>356</v>
      </c>
      <c r="E87" s="87">
        <v>33574</v>
      </c>
      <c r="F87" s="86" t="s">
        <v>233</v>
      </c>
      <c r="G87" s="86">
        <v>35</v>
      </c>
      <c r="H87" s="86">
        <v>13813037887</v>
      </c>
      <c r="I87" s="87">
        <v>45922</v>
      </c>
      <c r="J87" s="86"/>
      <c r="K87" s="86" t="s">
        <v>70</v>
      </c>
      <c r="L87" s="86" t="s">
        <v>357</v>
      </c>
      <c r="M87" s="40" t="str">
        <f ca="1" t="shared" si="4"/>
        <v>0年6个月</v>
      </c>
      <c r="N87" s="40" t="s">
        <v>25</v>
      </c>
      <c r="O87" s="88"/>
      <c r="P87" s="88" t="s">
        <v>255</v>
      </c>
      <c r="Q87" s="88"/>
      <c r="R87" s="89"/>
      <c r="S87" s="88"/>
    </row>
    <row r="88" customFormat="1" customHeight="1" spans="1:72">
      <c r="A88" s="13">
        <v>87</v>
      </c>
      <c r="B88" s="13" t="s">
        <v>358</v>
      </c>
      <c r="C88" s="10" t="s">
        <v>359</v>
      </c>
      <c r="D88" s="108" t="s">
        <v>360</v>
      </c>
      <c r="E88" s="46">
        <v>25070</v>
      </c>
      <c r="F88" s="10" t="s">
        <v>233</v>
      </c>
      <c r="G88" s="10">
        <v>57</v>
      </c>
      <c r="H88" s="10">
        <v>15962028551</v>
      </c>
      <c r="I88" s="46">
        <v>45940</v>
      </c>
      <c r="J88" s="10"/>
      <c r="K88" s="10" t="s">
        <v>70</v>
      </c>
      <c r="L88" s="10" t="s">
        <v>361</v>
      </c>
      <c r="M88" s="13" t="str">
        <f ca="1" t="shared" si="4"/>
        <v>0年6个月</v>
      </c>
      <c r="N88" s="13" t="s">
        <v>25</v>
      </c>
      <c r="O88" s="50"/>
      <c r="P88" s="50"/>
      <c r="Q88" s="50"/>
      <c r="R88" s="85"/>
      <c r="S88" s="50"/>
    </row>
    <row r="89" s="9" customFormat="1" customHeight="1" spans="1:72">
      <c r="A89" s="13">
        <v>89</v>
      </c>
      <c r="B89" s="40" t="s">
        <v>362</v>
      </c>
      <c r="C89" s="86" t="s">
        <v>363</v>
      </c>
      <c r="D89" s="115" t="s">
        <v>364</v>
      </c>
      <c r="E89" s="87">
        <v>29143</v>
      </c>
      <c r="F89" s="86" t="s">
        <v>233</v>
      </c>
      <c r="G89" s="86">
        <v>46</v>
      </c>
      <c r="H89" s="86">
        <v>18361183958</v>
      </c>
      <c r="I89" s="87">
        <v>45950</v>
      </c>
      <c r="J89" s="88"/>
      <c r="K89" s="86" t="s">
        <v>70</v>
      </c>
      <c r="L89" s="86" t="s">
        <v>156</v>
      </c>
      <c r="M89" s="40" t="str">
        <f ca="1" t="shared" si="4"/>
        <v>0年5个月</v>
      </c>
      <c r="N89" s="13" t="s">
        <v>25</v>
      </c>
      <c r="O89" s="88"/>
      <c r="P89" s="88"/>
      <c r="Q89" s="88"/>
      <c r="R89" s="88"/>
      <c r="S89" s="90"/>
    </row>
    <row r="90" s="9" customFormat="1" customHeight="1" spans="1:72">
      <c r="A90" s="13">
        <v>90</v>
      </c>
      <c r="B90" s="40" t="s">
        <v>365</v>
      </c>
      <c r="C90" s="86" t="s">
        <v>366</v>
      </c>
      <c r="D90" s="115" t="s">
        <v>367</v>
      </c>
      <c r="E90" s="87">
        <v>33115</v>
      </c>
      <c r="F90" s="86" t="s">
        <v>233</v>
      </c>
      <c r="G90" s="86">
        <v>36</v>
      </c>
      <c r="H90" s="86">
        <v>15195159087</v>
      </c>
      <c r="I90" s="87">
        <v>45961</v>
      </c>
      <c r="J90" s="88"/>
      <c r="K90" s="86" t="s">
        <v>70</v>
      </c>
      <c r="L90" s="86" t="s">
        <v>334</v>
      </c>
      <c r="M90" s="40" t="str">
        <f ca="1" t="shared" si="4"/>
        <v>0年5个月</v>
      </c>
      <c r="N90" s="13" t="s">
        <v>25</v>
      </c>
      <c r="O90" s="88"/>
      <c r="P90" s="88"/>
      <c r="Q90" s="88"/>
      <c r="R90" s="88"/>
      <c r="S90" s="90"/>
    </row>
    <row r="91" s="9" customFormat="1" customHeight="1" spans="1:72">
      <c r="A91" s="13">
        <v>91</v>
      </c>
      <c r="B91" s="40" t="s">
        <v>368</v>
      </c>
      <c r="C91" s="91" t="s">
        <v>369</v>
      </c>
      <c r="D91" s="116" t="s">
        <v>370</v>
      </c>
      <c r="E91" s="92">
        <v>38715</v>
      </c>
      <c r="F91" s="86" t="s">
        <v>233</v>
      </c>
      <c r="G91" s="91">
        <v>20</v>
      </c>
      <c r="H91" s="93">
        <v>18936332321</v>
      </c>
      <c r="I91" s="87">
        <v>45979</v>
      </c>
      <c r="J91" s="88"/>
      <c r="K91" s="86" t="s">
        <v>70</v>
      </c>
      <c r="L91" s="88"/>
      <c r="M91" s="40" t="str">
        <f ca="1" t="shared" si="4"/>
        <v>0年4个月</v>
      </c>
      <c r="N91" s="13" t="s">
        <v>25</v>
      </c>
      <c r="O91" s="88"/>
      <c r="P91" s="88"/>
      <c r="Q91" s="88"/>
      <c r="R91" s="88"/>
      <c r="S91" s="90"/>
    </row>
    <row r="92" s="9" customFormat="1" customHeight="1" spans="1:72">
      <c r="A92" s="13">
        <v>92</v>
      </c>
      <c r="B92" s="40" t="s">
        <v>371</v>
      </c>
      <c r="C92" s="91" t="s">
        <v>372</v>
      </c>
      <c r="D92" s="117" t="s">
        <v>373</v>
      </c>
      <c r="E92" s="92">
        <v>38638</v>
      </c>
      <c r="F92" s="86" t="s">
        <v>233</v>
      </c>
      <c r="G92" s="91">
        <v>20</v>
      </c>
      <c r="H92" s="93">
        <v>19516513956</v>
      </c>
      <c r="I92" s="87">
        <v>45979</v>
      </c>
      <c r="J92" s="88"/>
      <c r="K92" s="86" t="s">
        <v>70</v>
      </c>
      <c r="L92" s="88"/>
      <c r="M92" s="40" t="str">
        <f ca="1" t="shared" si="4"/>
        <v>0年4个月</v>
      </c>
      <c r="N92" s="13" t="s">
        <v>25</v>
      </c>
      <c r="O92" s="88"/>
      <c r="P92" s="88"/>
      <c r="Q92" s="88"/>
      <c r="R92" s="88"/>
      <c r="S92" s="90"/>
    </row>
    <row r="93" s="7" customFormat="1" customHeight="1" spans="1:72">
      <c r="A93" s="13">
        <v>94</v>
      </c>
      <c r="B93" s="94" t="s">
        <v>374</v>
      </c>
      <c r="C93" s="64" t="s">
        <v>375</v>
      </c>
      <c r="D93" s="112" t="s">
        <v>376</v>
      </c>
      <c r="E93" s="65">
        <v>32713</v>
      </c>
      <c r="F93" s="64" t="s">
        <v>233</v>
      </c>
      <c r="G93" s="64">
        <v>37</v>
      </c>
      <c r="H93" s="64">
        <v>15761595447</v>
      </c>
      <c r="I93" s="65">
        <v>46021</v>
      </c>
      <c r="J93" s="64"/>
      <c r="K93" s="64" t="s">
        <v>70</v>
      </c>
      <c r="L93" s="64" t="s">
        <v>92</v>
      </c>
      <c r="M93" s="94" t="str">
        <f ca="1" t="shared" si="4"/>
        <v>0年3个月</v>
      </c>
      <c r="N93" s="13" t="s">
        <v>25</v>
      </c>
      <c r="O93" s="64"/>
      <c r="P93" s="64"/>
      <c r="Q93" s="64"/>
      <c r="R93" s="64"/>
      <c r="S93" s="95"/>
    </row>
    <row r="94" customFormat="1" customHeight="1" spans="1:72">
      <c r="A94" s="13">
        <v>95</v>
      </c>
      <c r="B94" s="40" t="s">
        <v>377</v>
      </c>
      <c r="C94" s="10" t="s">
        <v>378</v>
      </c>
      <c r="D94" s="108" t="s">
        <v>379</v>
      </c>
      <c r="E94" s="46">
        <v>38586</v>
      </c>
      <c r="F94" s="10" t="s">
        <v>226</v>
      </c>
      <c r="G94" s="10">
        <v>21</v>
      </c>
      <c r="H94" s="10">
        <v>13962021568</v>
      </c>
      <c r="I94" s="46">
        <v>46028</v>
      </c>
      <c r="J94" s="10"/>
      <c r="K94" s="10" t="s">
        <v>70</v>
      </c>
      <c r="L94" s="10" t="s">
        <v>380</v>
      </c>
      <c r="M94" s="13" t="str">
        <f ca="1" t="shared" si="4"/>
        <v>0年3个月</v>
      </c>
      <c r="N94" s="13" t="s">
        <v>25</v>
      </c>
      <c r="O94" s="50"/>
      <c r="P94" s="50"/>
      <c r="Q94" s="63"/>
      <c r="R94" s="63"/>
      <c r="S94" s="96"/>
    </row>
    <row r="95" customFormat="1" customHeight="1" spans="1:72">
      <c r="A95" s="13">
        <v>105</v>
      </c>
      <c r="B95" s="13" t="s">
        <v>381</v>
      </c>
      <c r="C95" s="10" t="s">
        <v>382</v>
      </c>
      <c r="D95" s="108" t="s">
        <v>383</v>
      </c>
      <c r="E95" s="97">
        <v>30505</v>
      </c>
      <c r="F95" s="81" t="s">
        <v>226</v>
      </c>
      <c r="G95" s="81">
        <v>42</v>
      </c>
      <c r="H95" s="81">
        <v>18262370787</v>
      </c>
      <c r="I95" s="97">
        <v>46075</v>
      </c>
      <c r="J95" s="81"/>
      <c r="K95" s="81" t="s">
        <v>243</v>
      </c>
      <c r="L95" s="80"/>
      <c r="M95" s="13" t="str">
        <f ca="1" t="shared" si="4"/>
        <v>0年1个月</v>
      </c>
      <c r="N95" s="10"/>
      <c r="O95" s="10"/>
      <c r="P95" s="50"/>
      <c r="Q95" s="50"/>
      <c r="R95" s="50"/>
      <c r="S95" s="51"/>
    </row>
    <row r="96" customFormat="1" customHeight="1" spans="1:72">
      <c r="A96" s="42">
        <v>96</v>
      </c>
      <c r="B96" s="94" t="s">
        <v>384</v>
      </c>
      <c r="C96" s="64" t="s">
        <v>385</v>
      </c>
      <c r="D96" s="112" t="s">
        <v>386</v>
      </c>
      <c r="E96" s="98">
        <v>33087</v>
      </c>
      <c r="F96" s="99" t="s">
        <v>233</v>
      </c>
      <c r="G96" s="99">
        <v>37</v>
      </c>
      <c r="H96" s="99">
        <v>18914609977</v>
      </c>
      <c r="I96" s="98">
        <v>46030</v>
      </c>
      <c r="J96" s="83"/>
      <c r="K96" s="83" t="s">
        <v>23</v>
      </c>
      <c r="L96" s="99" t="s">
        <v>66</v>
      </c>
      <c r="M96" s="94"/>
      <c r="N96" s="42"/>
      <c r="O96" s="63"/>
      <c r="P96" s="63"/>
      <c r="Q96" s="63"/>
      <c r="R96" s="63"/>
      <c r="S96" s="96"/>
    </row>
    <row r="97" s="10" customFormat="1" customHeight="1" spans="1:20">
      <c r="A97" s="42">
        <v>98</v>
      </c>
      <c r="B97" s="94" t="s">
        <v>387</v>
      </c>
      <c r="C97" s="64" t="s">
        <v>388</v>
      </c>
      <c r="D97" s="112" t="s">
        <v>389</v>
      </c>
      <c r="E97" s="65">
        <v>26376</v>
      </c>
      <c r="F97" s="64" t="s">
        <v>233</v>
      </c>
      <c r="G97" s="64">
        <v>54</v>
      </c>
      <c r="H97" s="64"/>
      <c r="I97" s="65">
        <v>46076</v>
      </c>
      <c r="J97" s="64"/>
      <c r="K97" s="64" t="s">
        <v>70</v>
      </c>
      <c r="L97" s="64" t="s">
        <v>289</v>
      </c>
      <c r="M97" s="64"/>
      <c r="N97" s="64"/>
    </row>
    <row r="98" customFormat="1" customHeight="1" spans="1:20">
      <c r="A98" s="13">
        <v>101</v>
      </c>
      <c r="B98" s="40" t="s">
        <v>390</v>
      </c>
      <c r="C98" s="10" t="s">
        <v>391</v>
      </c>
      <c r="D98" s="108" t="s">
        <v>392</v>
      </c>
      <c r="E98" s="46">
        <v>32052</v>
      </c>
      <c r="F98" s="10" t="s">
        <v>226</v>
      </c>
      <c r="G98" s="10">
        <v>39</v>
      </c>
      <c r="H98" s="10">
        <v>18352086768</v>
      </c>
      <c r="I98" s="46">
        <v>46079</v>
      </c>
      <c r="J98" s="10"/>
      <c r="K98" s="10" t="s">
        <v>78</v>
      </c>
      <c r="L98" s="10" t="s">
        <v>393</v>
      </c>
      <c r="M98" s="13" t="str">
        <f ca="1" t="shared" ref="M98:M101" si="5">DATEDIF(I98,TODAY(),"Y")&amp;"年"&amp;DATEDIF(I98,TODAY(),"YM")&amp;"个月"</f>
        <v>0年1个月</v>
      </c>
      <c r="N98" s="13" t="s">
        <v>25</v>
      </c>
      <c r="O98" s="10"/>
      <c r="P98" s="50"/>
      <c r="Q98" s="50"/>
      <c r="R98" s="50"/>
      <c r="S98" s="51"/>
    </row>
    <row r="99" customFormat="1" customHeight="1" spans="1:20">
      <c r="A99" s="13">
        <v>102</v>
      </c>
      <c r="B99" s="94" t="s">
        <v>394</v>
      </c>
      <c r="C99" s="64" t="s">
        <v>395</v>
      </c>
      <c r="D99" s="112" t="s">
        <v>396</v>
      </c>
      <c r="E99" s="100">
        <v>26655</v>
      </c>
      <c r="F99" s="64" t="s">
        <v>233</v>
      </c>
      <c r="G99" s="64">
        <v>53</v>
      </c>
      <c r="H99" s="64">
        <v>13485214468</v>
      </c>
      <c r="I99" s="65">
        <v>46077</v>
      </c>
      <c r="J99" s="63"/>
      <c r="K99" s="64" t="s">
        <v>70</v>
      </c>
      <c r="L99" s="64" t="s">
        <v>92</v>
      </c>
      <c r="M99" s="40" t="str">
        <f ca="1" t="shared" si="5"/>
        <v>0年1个月</v>
      </c>
      <c r="N99" s="50"/>
      <c r="O99" s="50"/>
      <c r="P99" s="50"/>
      <c r="Q99" s="50"/>
      <c r="R99" s="50"/>
      <c r="S99" s="51"/>
    </row>
    <row r="100" customFormat="1" customHeight="1" spans="1:20">
      <c r="A100" s="42">
        <v>104</v>
      </c>
      <c r="B100" s="94" t="s">
        <v>397</v>
      </c>
      <c r="C100" s="64" t="s">
        <v>398</v>
      </c>
      <c r="D100" s="112" t="s">
        <v>399</v>
      </c>
      <c r="E100" s="65">
        <v>32769</v>
      </c>
      <c r="F100" s="64" t="s">
        <v>226</v>
      </c>
      <c r="G100" s="64">
        <v>37</v>
      </c>
      <c r="H100" s="64">
        <v>18796556872</v>
      </c>
      <c r="I100" s="65">
        <v>46083</v>
      </c>
      <c r="J100" s="64"/>
      <c r="K100" s="64" t="s">
        <v>243</v>
      </c>
      <c r="L100" s="64" t="s">
        <v>92</v>
      </c>
      <c r="M100" s="42" t="str">
        <f ca="1" t="shared" si="5"/>
        <v>0年1个月</v>
      </c>
      <c r="N100" s="42" t="s">
        <v>25</v>
      </c>
      <c r="O100" s="50"/>
      <c r="P100" s="50"/>
      <c r="Q100" s="50"/>
      <c r="R100" s="50"/>
      <c r="S100" s="51"/>
    </row>
    <row r="101" customFormat="1" customHeight="1" spans="1:20">
      <c r="A101" s="13">
        <v>106</v>
      </c>
      <c r="B101" s="40" t="s">
        <v>400</v>
      </c>
      <c r="C101" s="10" t="s">
        <v>401</v>
      </c>
      <c r="D101" s="108" t="s">
        <v>402</v>
      </c>
      <c r="E101" s="46">
        <v>26601</v>
      </c>
      <c r="F101" s="10" t="s">
        <v>233</v>
      </c>
      <c r="G101" s="10">
        <v>54</v>
      </c>
      <c r="H101" s="10">
        <v>18012537255</v>
      </c>
      <c r="I101" s="46">
        <v>46083</v>
      </c>
      <c r="J101" s="10"/>
      <c r="K101" s="50" t="s">
        <v>70</v>
      </c>
      <c r="L101" s="10" t="s">
        <v>156</v>
      </c>
      <c r="M101" s="13" t="str">
        <f ca="1" t="shared" si="5"/>
        <v>0年1个月</v>
      </c>
      <c r="N101" s="13" t="s">
        <v>25</v>
      </c>
      <c r="O101" s="101"/>
      <c r="P101" s="50"/>
      <c r="Q101" s="50"/>
      <c r="R101" s="50"/>
      <c r="S101" s="51"/>
    </row>
    <row r="102" customFormat="1" customHeight="1" spans="1:20">
      <c r="A102" s="13">
        <v>107</v>
      </c>
      <c r="B102" s="40" t="s">
        <v>403</v>
      </c>
      <c r="C102" s="10" t="s">
        <v>404</v>
      </c>
      <c r="D102" s="108" t="s">
        <v>405</v>
      </c>
      <c r="E102" s="46">
        <v>30305</v>
      </c>
      <c r="F102" s="10" t="s">
        <v>226</v>
      </c>
      <c r="G102" s="10">
        <v>44</v>
      </c>
      <c r="H102" s="10">
        <v>19281601936</v>
      </c>
      <c r="I102" s="46">
        <v>46083</v>
      </c>
      <c r="J102" s="10"/>
      <c r="K102" s="10" t="s">
        <v>70</v>
      </c>
      <c r="L102" s="10" t="s">
        <v>109</v>
      </c>
      <c r="M102" s="13"/>
      <c r="N102" s="13"/>
      <c r="O102" s="101"/>
      <c r="P102" s="50"/>
      <c r="Q102" s="50"/>
      <c r="R102" s="50"/>
      <c r="S102" s="51"/>
    </row>
    <row r="103" customFormat="1" customHeight="1" spans="1:20">
      <c r="A103" s="13">
        <v>108</v>
      </c>
      <c r="B103" s="40" t="s">
        <v>406</v>
      </c>
      <c r="C103" s="10" t="s">
        <v>407</v>
      </c>
      <c r="D103" s="108" t="s">
        <v>408</v>
      </c>
      <c r="E103" s="46">
        <v>33116</v>
      </c>
      <c r="F103" s="10" t="s">
        <v>226</v>
      </c>
      <c r="G103" s="10">
        <v>37</v>
      </c>
      <c r="H103" s="10">
        <v>18261290216</v>
      </c>
      <c r="I103" s="46">
        <v>46089</v>
      </c>
      <c r="J103" s="10"/>
      <c r="K103" s="10" t="s">
        <v>129</v>
      </c>
      <c r="L103" s="10" t="s">
        <v>409</v>
      </c>
      <c r="M103" s="13" t="str">
        <f ca="1">DATEDIF(I103,TODAY(),"Y")&amp;"年"&amp;DATEDIF(I103,TODAY(),"YM")&amp;"个月"</f>
        <v>0年1个月</v>
      </c>
      <c r="N103" s="13" t="s">
        <v>25</v>
      </c>
      <c r="O103" s="102"/>
      <c r="P103" s="63"/>
      <c r="Q103" s="63"/>
      <c r="R103" s="63"/>
      <c r="S103" s="66"/>
    </row>
    <row r="104" customFormat="1" customHeight="1" spans="1:20">
      <c r="A104" s="13">
        <v>109</v>
      </c>
      <c r="B104" s="40" t="s">
        <v>410</v>
      </c>
      <c r="C104" s="10" t="s">
        <v>411</v>
      </c>
      <c r="D104" s="108" t="s">
        <v>412</v>
      </c>
      <c r="E104" s="46">
        <v>35232</v>
      </c>
      <c r="F104" s="10" t="s">
        <v>226</v>
      </c>
      <c r="G104" s="10">
        <v>30</v>
      </c>
      <c r="H104" s="10">
        <v>18251435046</v>
      </c>
      <c r="I104" s="46">
        <v>46094</v>
      </c>
      <c r="J104" s="10"/>
      <c r="K104" s="10" t="s">
        <v>70</v>
      </c>
      <c r="L104" s="10" t="s">
        <v>243</v>
      </c>
      <c r="M104" s="10"/>
      <c r="N104" s="10"/>
      <c r="O104" s="50"/>
      <c r="P104" s="50"/>
      <c r="Q104" s="50"/>
      <c r="R104" s="50"/>
      <c r="S104" s="50"/>
      <c r="T104" s="7"/>
    </row>
    <row r="105" customFormat="1" customHeight="1" spans="1:20">
      <c r="A105" s="13">
        <v>110</v>
      </c>
      <c r="B105" s="40" t="s">
        <v>413</v>
      </c>
      <c r="C105" s="10" t="s">
        <v>414</v>
      </c>
      <c r="D105" s="10" t="s">
        <v>415</v>
      </c>
      <c r="E105" s="46">
        <v>28268</v>
      </c>
      <c r="F105" s="10" t="s">
        <v>226</v>
      </c>
      <c r="G105" s="10"/>
      <c r="H105" s="10"/>
      <c r="I105" s="46">
        <v>46092</v>
      </c>
      <c r="J105" s="10"/>
      <c r="K105" s="10" t="s">
        <v>70</v>
      </c>
      <c r="L105" s="10" t="s">
        <v>243</v>
      </c>
      <c r="M105" s="50"/>
      <c r="N105" s="50"/>
      <c r="O105" s="50"/>
      <c r="P105" s="50"/>
      <c r="Q105" s="50"/>
      <c r="R105" s="50"/>
      <c r="S105" s="50"/>
      <c r="T105" s="7"/>
    </row>
    <row r="106" customFormat="1" customHeight="1" spans="1:20">
      <c r="A106" s="13">
        <v>111</v>
      </c>
      <c r="B106" s="40" t="s">
        <v>416</v>
      </c>
      <c r="C106" s="10" t="s">
        <v>417</v>
      </c>
      <c r="D106" s="108" t="s">
        <v>418</v>
      </c>
      <c r="E106" s="46">
        <v>34249</v>
      </c>
      <c r="F106" s="10" t="s">
        <v>226</v>
      </c>
      <c r="G106" s="10">
        <v>32</v>
      </c>
      <c r="H106" s="10">
        <v>13962027200</v>
      </c>
      <c r="I106" s="46">
        <v>46097</v>
      </c>
      <c r="J106" s="10"/>
      <c r="K106" s="10" t="s">
        <v>108</v>
      </c>
      <c r="L106" s="10" t="s">
        <v>419</v>
      </c>
      <c r="M106" s="50"/>
      <c r="N106" s="50"/>
      <c r="O106" s="50"/>
      <c r="P106" s="50"/>
      <c r="Q106" s="50"/>
      <c r="R106" s="50"/>
      <c r="S106" s="50"/>
      <c r="T106" s="7"/>
    </row>
    <row r="107" customFormat="1" customHeight="1" spans="1:20">
      <c r="A107" s="13">
        <v>112</v>
      </c>
      <c r="B107" s="40" t="s">
        <v>420</v>
      </c>
      <c r="C107" s="10" t="s">
        <v>421</v>
      </c>
      <c r="D107" s="108" t="s">
        <v>422</v>
      </c>
      <c r="E107" s="46">
        <v>33940</v>
      </c>
      <c r="F107" s="10" t="s">
        <v>233</v>
      </c>
      <c r="G107" s="10">
        <v>35</v>
      </c>
      <c r="H107" s="10">
        <v>15505260260</v>
      </c>
      <c r="I107" s="103">
        <v>46103</v>
      </c>
      <c r="J107" s="50"/>
      <c r="K107" s="50" t="s">
        <v>70</v>
      </c>
      <c r="L107" s="10" t="s">
        <v>289</v>
      </c>
      <c r="M107" s="50"/>
      <c r="N107" s="50"/>
      <c r="O107" s="50"/>
      <c r="P107" s="50"/>
      <c r="Q107" s="50"/>
      <c r="R107" s="50"/>
      <c r="S107" s="50"/>
    </row>
    <row r="108" s="7" customFormat="1" customHeight="1"/>
    <row r="109" s="7" customFormat="1" customHeight="1"/>
    <row r="110" s="7" customFormat="1" customHeight="1"/>
    <row r="111" s="7" customFormat="1" customHeight="1"/>
    <row r="112" s="7" customFormat="1" customHeight="1"/>
    <row r="113" s="7" customFormat="1" customHeight="1"/>
    <row r="114" s="7" customFormat="1" customHeight="1"/>
    <row r="115" s="7" customFormat="1" customHeight="1"/>
    <row r="116" s="7" customFormat="1" customHeight="1"/>
    <row r="117" s="7" customFormat="1" customHeight="1"/>
    <row r="118" s="7" customFormat="1" customHeight="1"/>
    <row r="119" customFormat="1" customHeight="1" spans="16:19">
      <c r="P119" s="7"/>
      <c r="Q119" s="7"/>
      <c r="R119" s="7"/>
      <c r="S119" s="7"/>
    </row>
    <row r="120" customHeight="1" spans="16:19">
      <c r="P120" s="104"/>
      <c r="Q120" s="104"/>
      <c r="R120" s="104"/>
      <c r="S120" s="104"/>
    </row>
    <row r="121" customHeight="1" spans="16:19">
      <c r="P121" s="104"/>
      <c r="Q121" s="104"/>
      <c r="R121" s="104"/>
      <c r="S121" s="104"/>
    </row>
    <row r="122" customHeight="1" spans="16:19">
      <c r="P122" s="104"/>
      <c r="Q122" s="104"/>
      <c r="R122" s="104"/>
      <c r="S122" s="104"/>
    </row>
    <row r="123" customHeight="1" spans="16:19">
      <c r="P123" s="104"/>
      <c r="Q123" s="104"/>
      <c r="R123" s="104"/>
      <c r="S123" s="104"/>
    </row>
    <row r="124" customHeight="1" spans="16:19">
      <c r="P124" s="104"/>
      <c r="Q124" s="104"/>
      <c r="R124" s="104"/>
      <c r="S124" s="104"/>
    </row>
    <row r="125" customHeight="1" spans="16:19">
      <c r="P125" s="104"/>
      <c r="Q125" s="104"/>
      <c r="R125" s="104"/>
      <c r="S125" s="104"/>
    </row>
    <row r="126" customHeight="1" spans="16:19">
      <c r="P126" s="104"/>
      <c r="Q126" s="104"/>
      <c r="R126" s="104"/>
      <c r="S126" s="104"/>
    </row>
    <row r="127" customHeight="1" spans="16:19">
      <c r="P127" s="104"/>
      <c r="Q127" s="104"/>
      <c r="R127" s="104"/>
      <c r="S127" s="104"/>
    </row>
    <row r="128" customHeight="1" spans="16:19">
      <c r="P128" s="104"/>
      <c r="Q128" s="104"/>
      <c r="R128" s="104"/>
      <c r="S128" s="104"/>
    </row>
    <row r="129" customHeight="1" spans="16:19">
      <c r="P129" s="104"/>
      <c r="Q129" s="104"/>
      <c r="R129" s="104"/>
      <c r="S129" s="104"/>
    </row>
    <row r="130" customHeight="1" spans="16:19">
      <c r="P130" s="104"/>
      <c r="Q130" s="104"/>
      <c r="R130" s="104"/>
      <c r="S130" s="104"/>
    </row>
    <row r="131" customHeight="1" spans="16:19">
      <c r="P131" s="104"/>
      <c r="Q131" s="104"/>
      <c r="R131" s="104"/>
      <c r="S131" s="104"/>
    </row>
    <row r="132" customHeight="1" spans="16:19">
      <c r="P132" s="104"/>
      <c r="Q132" s="104"/>
      <c r="R132" s="104"/>
      <c r="S132" s="104"/>
    </row>
    <row r="133" customHeight="1" spans="16:19">
      <c r="P133" s="104"/>
      <c r="Q133" s="104"/>
      <c r="R133" s="104"/>
      <c r="S133" s="104"/>
    </row>
    <row r="134" customHeight="1" spans="16:19">
      <c r="P134" s="104"/>
      <c r="Q134" s="104"/>
      <c r="R134" s="104"/>
      <c r="S134" s="104"/>
    </row>
    <row r="135" customHeight="1" spans="16:19">
      <c r="P135" s="104"/>
      <c r="Q135" s="104"/>
      <c r="R135" s="104"/>
      <c r="S135" s="104"/>
    </row>
    <row r="136" customHeight="1" spans="16:19">
      <c r="P136" s="104"/>
      <c r="Q136" s="104"/>
      <c r="R136" s="104"/>
      <c r="S136" s="104"/>
    </row>
    <row r="137" customHeight="1" spans="16:19">
      <c r="P137" s="104"/>
      <c r="Q137" s="104"/>
      <c r="R137" s="104"/>
      <c r="S137" s="104"/>
    </row>
    <row r="138" customHeight="1" spans="16:19">
      <c r="P138" s="104"/>
      <c r="Q138" s="104"/>
      <c r="R138" s="104"/>
      <c r="S138" s="104"/>
    </row>
    <row r="139" customHeight="1" spans="16:19">
      <c r="P139" s="104"/>
      <c r="Q139" s="104"/>
      <c r="R139" s="104"/>
      <c r="S139" s="104"/>
    </row>
    <row r="140" customHeight="1" spans="16:19">
      <c r="P140" s="104"/>
      <c r="Q140" s="104"/>
      <c r="R140" s="104"/>
      <c r="S140" s="104"/>
    </row>
    <row r="141" customHeight="1" spans="16:19">
      <c r="P141" s="104"/>
      <c r="Q141" s="104"/>
      <c r="R141" s="104"/>
      <c r="S141" s="104"/>
    </row>
    <row r="142" customHeight="1" spans="16:19">
      <c r="P142" s="104"/>
      <c r="Q142" s="104"/>
      <c r="R142" s="104"/>
      <c r="S142" s="104"/>
    </row>
    <row r="143" customHeight="1" spans="16:19">
      <c r="P143" s="104"/>
      <c r="Q143" s="104"/>
      <c r="R143" s="104"/>
      <c r="S143" s="104"/>
    </row>
    <row r="144" customHeight="1" spans="16:19">
      <c r="P144" s="104"/>
      <c r="Q144" s="104"/>
      <c r="R144" s="104"/>
      <c r="S144" s="104"/>
    </row>
    <row r="145" customHeight="1" spans="16:19">
      <c r="P145" s="104"/>
      <c r="Q145" s="104"/>
      <c r="R145" s="104"/>
      <c r="S145" s="104"/>
    </row>
    <row r="146" customHeight="1" spans="16:19">
      <c r="P146" s="104"/>
      <c r="Q146" s="104"/>
      <c r="R146" s="104"/>
      <c r="S146" s="104"/>
    </row>
    <row r="147" customHeight="1" spans="16:19">
      <c r="P147" s="104"/>
      <c r="Q147" s="104"/>
      <c r="R147" s="104"/>
      <c r="S147" s="104"/>
    </row>
    <row r="148" customHeight="1" spans="16:19">
      <c r="P148" s="104"/>
      <c r="Q148" s="104"/>
      <c r="R148" s="104"/>
      <c r="S148" s="104"/>
    </row>
    <row r="149" customHeight="1" spans="16:19">
      <c r="P149" s="104"/>
      <c r="Q149" s="104"/>
      <c r="R149" s="104"/>
      <c r="S149" s="104"/>
    </row>
    <row r="150" customHeight="1" spans="16:19">
      <c r="P150" s="104"/>
      <c r="Q150" s="104"/>
      <c r="R150" s="104"/>
      <c r="S150" s="104"/>
    </row>
    <row r="151" customHeight="1" spans="16:19">
      <c r="P151" s="104"/>
      <c r="Q151" s="104"/>
      <c r="R151" s="104"/>
      <c r="S151" s="104"/>
    </row>
    <row r="152" customHeight="1" spans="16:19">
      <c r="P152" s="104"/>
      <c r="Q152" s="104"/>
      <c r="R152" s="104"/>
      <c r="S152" s="104"/>
    </row>
    <row r="153" customHeight="1" spans="16:19">
      <c r="P153" s="104"/>
      <c r="Q153" s="104"/>
      <c r="R153" s="104"/>
      <c r="S153" s="104"/>
    </row>
    <row r="154" customHeight="1" spans="16:19">
      <c r="P154" s="104"/>
      <c r="Q154" s="104"/>
      <c r="R154" s="104"/>
      <c r="S154" s="104"/>
    </row>
    <row r="155" customHeight="1" spans="16:19">
      <c r="P155" s="104"/>
      <c r="Q155" s="104"/>
      <c r="R155" s="104"/>
      <c r="S155" s="104"/>
    </row>
    <row r="156" customHeight="1" spans="16:19">
      <c r="P156" s="104"/>
      <c r="Q156" s="104"/>
      <c r="R156" s="104"/>
      <c r="S156" s="104"/>
    </row>
    <row r="157" customHeight="1" spans="16:19">
      <c r="P157" s="104"/>
      <c r="Q157" s="104"/>
      <c r="R157" s="104"/>
      <c r="S157" s="104"/>
    </row>
    <row r="158" customHeight="1" spans="16:19">
      <c r="P158" s="104"/>
      <c r="Q158" s="104"/>
      <c r="R158" s="104"/>
      <c r="S158" s="104"/>
    </row>
    <row r="159" customHeight="1" spans="16:19">
      <c r="P159" s="104"/>
      <c r="Q159" s="104"/>
      <c r="R159" s="104"/>
      <c r="S159" s="104"/>
    </row>
    <row r="160" customHeight="1" spans="16:19">
      <c r="P160" s="104"/>
      <c r="Q160" s="104"/>
      <c r="R160" s="104"/>
      <c r="S160" s="104"/>
    </row>
    <row r="161" customHeight="1" spans="16:19">
      <c r="P161" s="104"/>
      <c r="Q161" s="104"/>
      <c r="R161" s="104"/>
      <c r="S161" s="104"/>
    </row>
    <row r="162" customHeight="1" spans="16:19">
      <c r="P162" s="104"/>
      <c r="Q162" s="104"/>
      <c r="R162" s="104"/>
      <c r="S162" s="104"/>
    </row>
    <row r="163" customHeight="1" spans="16:19">
      <c r="P163" s="104"/>
      <c r="Q163" s="104"/>
      <c r="R163" s="104"/>
      <c r="S163" s="104"/>
    </row>
    <row r="164" customHeight="1" spans="16:19">
      <c r="P164" s="104"/>
      <c r="Q164" s="104"/>
      <c r="R164" s="104"/>
      <c r="S164" s="104"/>
    </row>
    <row r="165" customHeight="1" spans="16:19">
      <c r="P165" s="104"/>
      <c r="Q165" s="104"/>
      <c r="R165" s="104"/>
      <c r="S165" s="104"/>
    </row>
    <row r="166" customHeight="1" spans="16:19">
      <c r="P166" s="104"/>
      <c r="Q166" s="104"/>
      <c r="R166" s="104"/>
      <c r="S166" s="104"/>
    </row>
    <row r="167" customHeight="1" spans="16:19">
      <c r="P167" s="104"/>
      <c r="Q167" s="104"/>
      <c r="R167" s="104"/>
      <c r="S167" s="104"/>
    </row>
    <row r="168" customHeight="1" spans="16:19">
      <c r="P168" s="104"/>
      <c r="Q168" s="104"/>
      <c r="R168" s="104"/>
      <c r="S168" s="104"/>
    </row>
    <row r="169" customHeight="1" spans="16:19">
      <c r="P169" s="104"/>
      <c r="Q169" s="104"/>
      <c r="R169" s="104"/>
      <c r="S169" s="104"/>
    </row>
    <row r="170" customHeight="1" spans="16:19">
      <c r="P170" s="104"/>
      <c r="Q170" s="104"/>
      <c r="R170" s="104"/>
      <c r="S170" s="104"/>
    </row>
    <row r="171" customHeight="1" spans="16:19">
      <c r="P171" s="104"/>
      <c r="Q171" s="104"/>
      <c r="R171" s="104"/>
      <c r="S171" s="104"/>
    </row>
    <row r="172" customHeight="1" spans="16:19">
      <c r="P172" s="104"/>
      <c r="Q172" s="104"/>
      <c r="R172" s="104"/>
      <c r="S172" s="104"/>
    </row>
    <row r="173" customHeight="1" spans="16:19">
      <c r="P173" s="104"/>
      <c r="Q173" s="104"/>
      <c r="R173" s="104"/>
      <c r="S173" s="104"/>
    </row>
    <row r="174" customHeight="1" spans="16:19">
      <c r="P174" s="104"/>
      <c r="Q174" s="104"/>
      <c r="R174" s="104"/>
      <c r="S174" s="104"/>
    </row>
    <row r="175" customHeight="1" spans="16:19">
      <c r="P175" s="104"/>
      <c r="Q175" s="104"/>
      <c r="R175" s="104"/>
      <c r="S175" s="104"/>
    </row>
    <row r="176" customHeight="1" spans="16:19">
      <c r="P176" s="104"/>
      <c r="Q176" s="104"/>
      <c r="R176" s="104"/>
      <c r="S176" s="104"/>
    </row>
    <row r="177" customHeight="1" spans="16:19">
      <c r="P177" s="104"/>
      <c r="Q177" s="104"/>
      <c r="R177" s="104"/>
      <c r="S177" s="104"/>
    </row>
    <row r="178" customHeight="1" spans="16:19">
      <c r="P178" s="104"/>
      <c r="Q178" s="104"/>
      <c r="R178" s="104"/>
      <c r="S178" s="104"/>
    </row>
    <row r="179" customHeight="1" spans="16:19">
      <c r="P179" s="104"/>
      <c r="Q179" s="104"/>
      <c r="R179" s="104"/>
      <c r="S179" s="104"/>
    </row>
    <row r="180" customHeight="1" spans="16:19">
      <c r="P180" s="104"/>
      <c r="Q180" s="104"/>
      <c r="R180" s="104"/>
      <c r="S180" s="104"/>
    </row>
    <row r="181" customHeight="1" spans="16:19">
      <c r="P181" s="104"/>
      <c r="Q181" s="104"/>
      <c r="R181" s="104"/>
      <c r="S181" s="104"/>
    </row>
    <row r="182" customHeight="1" spans="16:19">
      <c r="P182" s="104"/>
      <c r="Q182" s="104"/>
      <c r="R182" s="104"/>
      <c r="S182" s="104"/>
    </row>
    <row r="183" customHeight="1" spans="16:19">
      <c r="P183" s="104"/>
      <c r="Q183" s="104"/>
      <c r="R183" s="104"/>
      <c r="S183" s="104"/>
    </row>
    <row r="184" customHeight="1" spans="16:19">
      <c r="P184" s="104"/>
      <c r="Q184" s="104"/>
      <c r="R184" s="104"/>
      <c r="S184" s="104"/>
    </row>
    <row r="185" customHeight="1" spans="16:19">
      <c r="P185" s="104"/>
      <c r="Q185" s="104"/>
      <c r="R185" s="104"/>
      <c r="S185" s="104"/>
    </row>
    <row r="186" customHeight="1" spans="16:19">
      <c r="P186" s="104"/>
      <c r="Q186" s="104"/>
      <c r="R186" s="104"/>
      <c r="S186" s="104"/>
    </row>
    <row r="187" customHeight="1" spans="16:19">
      <c r="P187" s="104"/>
      <c r="Q187" s="104"/>
      <c r="R187" s="104"/>
      <c r="S187" s="104"/>
    </row>
    <row r="188" customHeight="1" spans="16:19">
      <c r="P188" s="104"/>
      <c r="Q188" s="104"/>
      <c r="R188" s="104"/>
      <c r="S188" s="104"/>
    </row>
    <row r="189" customHeight="1" spans="16:19">
      <c r="P189" s="104"/>
      <c r="Q189" s="104"/>
      <c r="R189" s="104"/>
      <c r="S189" s="104"/>
    </row>
    <row r="190" customHeight="1" spans="16:19">
      <c r="P190" s="104"/>
      <c r="Q190" s="104"/>
      <c r="R190" s="104"/>
      <c r="S190" s="104"/>
    </row>
    <row r="191" customHeight="1" spans="16:19">
      <c r="P191" s="104"/>
      <c r="Q191" s="104"/>
      <c r="R191" s="104"/>
      <c r="S191" s="104"/>
    </row>
    <row r="192" customHeight="1" spans="16:19">
      <c r="P192" s="104"/>
      <c r="Q192" s="104"/>
      <c r="R192" s="104"/>
      <c r="S192" s="104"/>
    </row>
    <row r="193" customHeight="1" spans="16:19">
      <c r="P193" s="104"/>
      <c r="Q193" s="104"/>
      <c r="R193" s="104"/>
      <c r="S193" s="104"/>
    </row>
    <row r="194" customHeight="1" spans="16:19">
      <c r="P194" s="104"/>
      <c r="Q194" s="104"/>
      <c r="R194" s="104"/>
      <c r="S194" s="104"/>
    </row>
    <row r="195" customHeight="1" spans="16:19">
      <c r="P195" s="104"/>
      <c r="Q195" s="104"/>
      <c r="R195" s="104"/>
      <c r="S195" s="104"/>
    </row>
    <row r="196" customHeight="1" spans="16:19">
      <c r="P196" s="104"/>
      <c r="Q196" s="104"/>
      <c r="R196" s="104"/>
      <c r="S196" s="104"/>
    </row>
    <row r="197" customHeight="1" spans="16:19">
      <c r="P197" s="104"/>
      <c r="Q197" s="104"/>
      <c r="R197" s="104"/>
      <c r="S197" s="104"/>
    </row>
    <row r="198" customHeight="1" spans="16:19">
      <c r="P198" s="104"/>
      <c r="Q198" s="104"/>
      <c r="R198" s="104"/>
      <c r="S198" s="104"/>
    </row>
    <row r="199" customHeight="1" spans="16:19">
      <c r="P199" s="104"/>
      <c r="Q199" s="104"/>
      <c r="R199" s="104"/>
      <c r="S199" s="104"/>
    </row>
    <row r="200" customHeight="1" spans="16:19">
      <c r="P200" s="104"/>
      <c r="Q200" s="104"/>
      <c r="R200" s="104"/>
      <c r="S200" s="104"/>
    </row>
    <row r="201" customHeight="1" spans="16:19">
      <c r="P201" s="104"/>
      <c r="Q201" s="104"/>
      <c r="R201" s="104"/>
      <c r="S201" s="104"/>
    </row>
    <row r="202" customHeight="1" spans="16:19">
      <c r="P202" s="104"/>
      <c r="Q202" s="104"/>
      <c r="R202" s="104"/>
      <c r="S202" s="104"/>
    </row>
    <row r="203" customHeight="1" spans="16:19">
      <c r="P203" s="104"/>
      <c r="Q203" s="104"/>
      <c r="R203" s="104"/>
      <c r="S203" s="104"/>
    </row>
    <row r="204" customHeight="1" spans="16:19">
      <c r="P204" s="104"/>
      <c r="Q204" s="104"/>
      <c r="R204" s="104"/>
      <c r="S204" s="104"/>
    </row>
    <row r="205" customHeight="1" spans="16:19">
      <c r="P205" s="104"/>
      <c r="Q205" s="104"/>
      <c r="R205" s="104"/>
      <c r="S205" s="104"/>
    </row>
    <row r="206" customHeight="1" spans="16:19">
      <c r="P206" s="104"/>
      <c r="Q206" s="104"/>
      <c r="R206" s="104"/>
      <c r="S206" s="104"/>
    </row>
    <row r="207" customHeight="1" spans="16:19">
      <c r="P207" s="104"/>
      <c r="Q207" s="104"/>
      <c r="R207" s="104"/>
      <c r="S207" s="104"/>
    </row>
    <row r="208" customHeight="1" spans="16:19">
      <c r="P208" s="104"/>
      <c r="Q208" s="104"/>
      <c r="R208" s="104"/>
      <c r="S208" s="104"/>
    </row>
    <row r="209" customHeight="1" spans="16:19">
      <c r="P209" s="104"/>
      <c r="Q209" s="104"/>
      <c r="R209" s="104"/>
      <c r="S209" s="104"/>
    </row>
    <row r="210" customHeight="1" spans="16:19">
      <c r="P210" s="104"/>
      <c r="Q210" s="104"/>
      <c r="R210" s="104"/>
      <c r="S210" s="104"/>
    </row>
    <row r="211" customHeight="1" spans="16:19">
      <c r="P211" s="104"/>
      <c r="Q211" s="104"/>
      <c r="R211" s="104"/>
      <c r="S211" s="104"/>
    </row>
    <row r="212" customHeight="1" spans="16:19">
      <c r="P212" s="104"/>
      <c r="Q212" s="104"/>
      <c r="R212" s="104"/>
      <c r="S212" s="104"/>
    </row>
    <row r="213" customHeight="1" spans="16:19">
      <c r="P213" s="104"/>
      <c r="Q213" s="104"/>
      <c r="R213" s="104"/>
      <c r="S213" s="104"/>
    </row>
    <row r="214" customHeight="1" spans="16:19">
      <c r="P214" s="104"/>
      <c r="Q214" s="104"/>
      <c r="R214" s="104"/>
      <c r="S214" s="104"/>
    </row>
    <row r="215" customHeight="1" spans="16:19">
      <c r="P215" s="104"/>
      <c r="Q215" s="104"/>
      <c r="R215" s="104"/>
      <c r="S215" s="104"/>
    </row>
    <row r="216" customHeight="1" spans="16:19">
      <c r="P216" s="104"/>
      <c r="Q216" s="104"/>
      <c r="R216" s="104"/>
      <c r="S216" s="104"/>
    </row>
    <row r="217" customHeight="1" spans="16:19">
      <c r="P217" s="104"/>
      <c r="Q217" s="104"/>
      <c r="R217" s="104"/>
      <c r="S217" s="104"/>
    </row>
    <row r="218" customHeight="1" spans="16:19">
      <c r="P218" s="104"/>
      <c r="Q218" s="104"/>
      <c r="R218" s="104"/>
      <c r="S218" s="104"/>
    </row>
    <row r="219" customHeight="1" spans="16:19">
      <c r="P219" s="104"/>
      <c r="Q219" s="104"/>
      <c r="R219" s="104"/>
      <c r="S219" s="104"/>
    </row>
    <row r="220" customHeight="1" spans="16:19">
      <c r="P220" s="104"/>
      <c r="Q220" s="104"/>
      <c r="R220" s="104"/>
      <c r="S220" s="104"/>
    </row>
    <row r="221" customHeight="1" spans="16:19">
      <c r="P221" s="104"/>
      <c r="Q221" s="104"/>
      <c r="R221" s="104"/>
      <c r="S221" s="104"/>
    </row>
    <row r="222" customHeight="1" spans="16:19">
      <c r="P222" s="104"/>
      <c r="Q222" s="104"/>
      <c r="R222" s="104"/>
      <c r="S222" s="104"/>
    </row>
    <row r="223" customHeight="1" spans="16:19">
      <c r="P223" s="104"/>
      <c r="Q223" s="104"/>
      <c r="R223" s="104"/>
      <c r="S223" s="104"/>
    </row>
    <row r="224" customHeight="1" spans="16:19">
      <c r="P224" s="104"/>
      <c r="Q224" s="104"/>
      <c r="R224" s="104"/>
      <c r="S224" s="104"/>
    </row>
    <row r="225" customHeight="1" spans="16:19">
      <c r="P225" s="70"/>
      <c r="Q225" s="70"/>
      <c r="R225" s="70"/>
      <c r="S225" s="70"/>
    </row>
  </sheetData>
  <mergeCells count="1">
    <mergeCell ref="A1:O1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tonyh</dc:creator>
  <cp:lastModifiedBy>黄子迅</cp:lastModifiedBy>
  <dcterms:created xsi:type="dcterms:W3CDTF">2026-04-13T17:52:00Z</dcterms:created>
  <dcterms:modified xsi:type="dcterms:W3CDTF">2026-04-13T17:52:55Z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4A462B091B2C4CDC997C449BF4D6956B_11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